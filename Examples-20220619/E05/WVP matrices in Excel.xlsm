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2" codeName="{51196F13-6AD0-C1B8-E2B4-A1F9AE17003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gribaudo/Documents/Corsi/2022/CG/Examples/E05 - WVP matrices in Excel/E05/"/>
    </mc:Choice>
  </mc:AlternateContent>
  <xr:revisionPtr revIDLastSave="0" documentId="13_ncr:1_{A225B03C-9623-3F4A-BC05-5EF215FD9044}" xr6:coauthVersionLast="36" xr6:coauthVersionMax="36" xr10:uidLastSave="{00000000-0000-0000-0000-000000000000}"/>
  <bookViews>
    <workbookView xWindow="32720" yWindow="2000" windowWidth="25600" windowHeight="14220" tabRatio="500" xr2:uid="{00000000-000D-0000-FFFF-FFFF00000000}"/>
  </bookViews>
  <sheets>
    <sheet name="Main" sheetId="1" r:id="rId1"/>
    <sheet name="Anim" sheetId="4" r:id="rId2"/>
    <sheet name="ShipsVE" sheetId="2" r:id="rId3"/>
    <sheet name="ShipsInfo" sheetId="3" r:id="rId4"/>
  </sheets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5" i="4" l="1"/>
  <c r="E88" i="4"/>
  <c r="E91" i="4"/>
  <c r="C36" i="3"/>
  <c r="E36" i="3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6" i="4"/>
  <c r="E87" i="4"/>
  <c r="E89" i="4"/>
  <c r="E90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66" i="4"/>
  <c r="W72" i="4"/>
  <c r="Y72" i="4" s="1"/>
  <c r="X72" i="4"/>
  <c r="W71" i="4"/>
  <c r="Z71" i="4" s="1"/>
  <c r="W70" i="4"/>
  <c r="Z70" i="4" s="1"/>
  <c r="AH28" i="4"/>
  <c r="X28" i="4"/>
  <c r="W28" i="4"/>
  <c r="S28" i="4"/>
  <c r="Q28" i="4"/>
  <c r="O28" i="4"/>
  <c r="AG27" i="4"/>
  <c r="AB27" i="4"/>
  <c r="AA27" i="4"/>
  <c r="X27" i="4"/>
  <c r="W27" i="4"/>
  <c r="O27" i="4"/>
  <c r="AF26" i="4"/>
  <c r="AB26" i="4"/>
  <c r="AA26" i="4"/>
  <c r="S26" i="4"/>
  <c r="Q26" i="4"/>
  <c r="O26" i="4"/>
  <c r="AD21" i="4"/>
  <c r="X21" i="4"/>
  <c r="V21" i="4"/>
  <c r="S21" i="4"/>
  <c r="R21" i="4"/>
  <c r="AD20" i="4"/>
  <c r="S20" i="4"/>
  <c r="R20" i="4"/>
  <c r="M20" i="4"/>
  <c r="L20" i="4"/>
  <c r="AD19" i="4"/>
  <c r="X19" i="4"/>
  <c r="V19" i="4"/>
  <c r="M19" i="4"/>
  <c r="L19" i="4"/>
  <c r="G19" i="4" a="1"/>
  <c r="J22" i="4"/>
  <c r="J14" i="4"/>
  <c r="I14" i="4"/>
  <c r="H13" i="4"/>
  <c r="G12" i="4"/>
  <c r="AI42" i="1"/>
  <c r="AI41" i="1"/>
  <c r="AI40" i="1"/>
  <c r="AL40" i="1" s="1"/>
  <c r="AK40" i="1"/>
  <c r="AL41" i="1"/>
  <c r="AK42" i="1"/>
  <c r="AJ41" i="1"/>
  <c r="AJ42" i="1"/>
  <c r="Q28" i="1"/>
  <c r="X27" i="1"/>
  <c r="AA27" i="1"/>
  <c r="V21" i="1"/>
  <c r="M19" i="1"/>
  <c r="S20" i="1"/>
  <c r="Q26" i="1"/>
  <c r="S26" i="1"/>
  <c r="S28" i="1"/>
  <c r="W27" i="1"/>
  <c r="W28" i="1"/>
  <c r="X28" i="1"/>
  <c r="O26" i="1"/>
  <c r="O27" i="1"/>
  <c r="O28" i="1"/>
  <c r="AF26" i="1"/>
  <c r="AG27" i="1"/>
  <c r="AH28" i="1"/>
  <c r="AA26" i="1"/>
  <c r="G26" i="1" s="1" a="1"/>
  <c r="AB26" i="1"/>
  <c r="AB27" i="1"/>
  <c r="J26" i="1"/>
  <c r="G27" i="1"/>
  <c r="J27" i="1"/>
  <c r="J28" i="1"/>
  <c r="G29" i="1"/>
  <c r="J29" i="1"/>
  <c r="V19" i="1"/>
  <c r="X19" i="1"/>
  <c r="X21" i="1"/>
  <c r="R20" i="1"/>
  <c r="R21" i="1"/>
  <c r="S21" i="1"/>
  <c r="AD21" i="1"/>
  <c r="AD20" i="1"/>
  <c r="AD19" i="1"/>
  <c r="L19" i="1"/>
  <c r="L20" i="1"/>
  <c r="M20" i="1"/>
  <c r="J14" i="1"/>
  <c r="I14" i="1"/>
  <c r="H13" i="1"/>
  <c r="G12" i="1"/>
  <c r="G26" i="4" l="1" a="1"/>
  <c r="I26" i="4" s="1"/>
  <c r="G19" i="1" a="1"/>
  <c r="G19" i="1" s="1"/>
  <c r="I19" i="4"/>
  <c r="I20" i="4"/>
  <c r="I21" i="4"/>
  <c r="I22" i="4"/>
  <c r="G19" i="4"/>
  <c r="G20" i="4"/>
  <c r="G21" i="4"/>
  <c r="G22" i="4"/>
  <c r="H19" i="4"/>
  <c r="H20" i="4"/>
  <c r="H21" i="4"/>
  <c r="H22" i="4"/>
  <c r="H26" i="1"/>
  <c r="H27" i="1"/>
  <c r="H28" i="1"/>
  <c r="H29" i="1"/>
  <c r="I26" i="1"/>
  <c r="I27" i="1"/>
  <c r="I28" i="1"/>
  <c r="I29" i="1"/>
  <c r="J21" i="4"/>
  <c r="G28" i="1"/>
  <c r="G26" i="1"/>
  <c r="J20" i="4"/>
  <c r="J19" i="4"/>
  <c r="X71" i="4"/>
  <c r="Y70" i="4"/>
  <c r="AJ45" i="4"/>
  <c r="O40" i="4"/>
  <c r="AE40" i="4"/>
  <c r="K41" i="4"/>
  <c r="AA41" i="4"/>
  <c r="G42" i="4"/>
  <c r="W42" i="4"/>
  <c r="AM42" i="4"/>
  <c r="S43" i="4"/>
  <c r="AI43" i="4"/>
  <c r="AK45" i="4"/>
  <c r="T40" i="4"/>
  <c r="AJ40" i="4"/>
  <c r="P41" i="4"/>
  <c r="AF41" i="4"/>
  <c r="L42" i="4"/>
  <c r="AB42" i="4"/>
  <c r="H43" i="4"/>
  <c r="X43" i="4"/>
  <c r="AN43" i="4"/>
  <c r="E40" i="4"/>
  <c r="U40" i="4"/>
  <c r="AK40" i="4"/>
  <c r="Q41" i="4"/>
  <c r="AG41" i="4"/>
  <c r="M42" i="4"/>
  <c r="AC42" i="4"/>
  <c r="I43" i="4"/>
  <c r="Y43" i="4"/>
  <c r="D42" i="4"/>
  <c r="J40" i="4"/>
  <c r="Z40" i="4"/>
  <c r="F41" i="4"/>
  <c r="V41" i="4"/>
  <c r="AL41" i="4"/>
  <c r="R42" i="4"/>
  <c r="AH42" i="4"/>
  <c r="N43" i="4"/>
  <c r="AD43" i="4"/>
  <c r="AH58" i="4"/>
  <c r="AF52" i="4"/>
  <c r="AN52" i="4"/>
  <c r="AJ57" i="4"/>
  <c r="AF54" i="4"/>
  <c r="Q53" i="4"/>
  <c r="R53" i="4"/>
  <c r="N57" i="4"/>
  <c r="B157" i="4"/>
  <c r="B172" i="4"/>
  <c r="AH53" i="4"/>
  <c r="AM52" i="4"/>
  <c r="P57" i="4"/>
  <c r="L58" i="4"/>
  <c r="B150" i="4"/>
  <c r="B132" i="4"/>
  <c r="C157" i="4"/>
  <c r="C172" i="4"/>
  <c r="P54" i="4"/>
  <c r="B127" i="4"/>
  <c r="B103" i="4"/>
  <c r="B139" i="4"/>
  <c r="C115" i="4"/>
  <c r="V53" i="4"/>
  <c r="AD54" i="4"/>
  <c r="B135" i="4"/>
  <c r="Y57" i="4"/>
  <c r="C142" i="4"/>
  <c r="AF58" i="4"/>
  <c r="AM57" i="4"/>
  <c r="AN58" i="4"/>
  <c r="Q52" i="4"/>
  <c r="T58" i="4"/>
  <c r="C129" i="4"/>
  <c r="B159" i="4"/>
  <c r="B174" i="4"/>
  <c r="C148" i="4"/>
  <c r="U45" i="4"/>
  <c r="AB58" i="4"/>
  <c r="V57" i="4"/>
  <c r="C136" i="4"/>
  <c r="AC45" i="4"/>
  <c r="T54" i="4"/>
  <c r="AI58" i="4"/>
  <c r="AM54" i="4"/>
  <c r="O58" i="4"/>
  <c r="C121" i="4"/>
  <c r="C151" i="4"/>
  <c r="N53" i="4"/>
  <c r="B105" i="4"/>
  <c r="C166" i="4"/>
  <c r="Q54" i="4"/>
  <c r="B136" i="4"/>
  <c r="AA57" i="4"/>
  <c r="C153" i="4"/>
  <c r="AE45" i="4"/>
  <c r="AA58" i="4"/>
  <c r="Z57" i="4"/>
  <c r="AD52" i="4"/>
  <c r="X45" i="4"/>
  <c r="AA53" i="4"/>
  <c r="W53" i="4"/>
  <c r="Z52" i="4"/>
  <c r="X53" i="4"/>
  <c r="AA45" i="4"/>
  <c r="W52" i="4"/>
  <c r="AA54" i="4"/>
  <c r="AN45" i="4"/>
  <c r="S40" i="4"/>
  <c r="AI40" i="4"/>
  <c r="O41" i="4"/>
  <c r="AE41" i="4"/>
  <c r="K42" i="4"/>
  <c r="AA42" i="4"/>
  <c r="G43" i="4"/>
  <c r="W43" i="4"/>
  <c r="AM43" i="4"/>
  <c r="H40" i="4"/>
  <c r="X40" i="4"/>
  <c r="AN40" i="4"/>
  <c r="T41" i="4"/>
  <c r="AJ41" i="4"/>
  <c r="P42" i="4"/>
  <c r="AF42" i="4"/>
  <c r="L43" i="4"/>
  <c r="AB43" i="4"/>
  <c r="D43" i="4"/>
  <c r="I40" i="4"/>
  <c r="Y40" i="4"/>
  <c r="E41" i="4"/>
  <c r="U41" i="4"/>
  <c r="AK41" i="4"/>
  <c r="Q42" i="4"/>
  <c r="AG42" i="4"/>
  <c r="M43" i="4"/>
  <c r="AC43" i="4"/>
  <c r="AI45" i="4"/>
  <c r="N40" i="4"/>
  <c r="AD40" i="4"/>
  <c r="J41" i="4"/>
  <c r="Z41" i="4"/>
  <c r="F42" i="4"/>
  <c r="V42" i="4"/>
  <c r="AL42" i="4"/>
  <c r="R43" i="4"/>
  <c r="AH43" i="4"/>
  <c r="AG53" i="4"/>
  <c r="AM58" i="4"/>
  <c r="AJ53" i="4"/>
  <c r="AJ58" i="4"/>
  <c r="AK52" i="4"/>
  <c r="L52" i="4"/>
  <c r="C150" i="4"/>
  <c r="C123" i="4"/>
  <c r="B162" i="4"/>
  <c r="B175" i="4"/>
  <c r="AI52" i="4"/>
  <c r="AL57" i="4"/>
  <c r="Q58" i="4"/>
  <c r="C126" i="4"/>
  <c r="T53" i="4"/>
  <c r="B123" i="4"/>
  <c r="C162" i="4"/>
  <c r="C175" i="4"/>
  <c r="C124" i="4"/>
  <c r="B117" i="4"/>
  <c r="C106" i="4"/>
  <c r="C139" i="4"/>
  <c r="B115" i="4"/>
  <c r="V52" i="4"/>
  <c r="V54" i="4"/>
  <c r="Z54" i="4"/>
  <c r="AD45" i="4"/>
  <c r="B118" i="4"/>
  <c r="AG57" i="4"/>
  <c r="AL53" i="4"/>
  <c r="AN54" i="4"/>
  <c r="P53" i="4"/>
  <c r="S53" i="4"/>
  <c r="C120" i="4"/>
  <c r="B163" i="4"/>
  <c r="C109" i="4"/>
  <c r="C130" i="4"/>
  <c r="Q45" i="4"/>
  <c r="AE57" i="4"/>
  <c r="C169" i="4"/>
  <c r="C114" i="4"/>
  <c r="Y45" i="4"/>
  <c r="C111" i="4"/>
  <c r="AH52" i="4"/>
  <c r="AL58" i="4"/>
  <c r="Q57" i="4"/>
  <c r="B126" i="4"/>
  <c r="S58" i="4"/>
  <c r="N52" i="4"/>
  <c r="C156" i="4"/>
  <c r="C171" i="4"/>
  <c r="B148" i="4"/>
  <c r="B147" i="4"/>
  <c r="AD57" i="4"/>
  <c r="Z58" i="4"/>
  <c r="W45" i="4"/>
  <c r="AD58" i="4"/>
  <c r="X58" i="4"/>
  <c r="AC52" i="4"/>
  <c r="C141" i="4"/>
  <c r="B145" i="4"/>
  <c r="B169" i="4"/>
  <c r="B114" i="4"/>
  <c r="AB45" i="4"/>
  <c r="C117" i="4"/>
  <c r="W54" i="4"/>
  <c r="AA40" i="4"/>
  <c r="AM41" i="4"/>
  <c r="AI42" i="4"/>
  <c r="AE43" i="4"/>
  <c r="P40" i="4"/>
  <c r="L41" i="4"/>
  <c r="H42" i="4"/>
  <c r="T43" i="4"/>
  <c r="AL45" i="4"/>
  <c r="AG40" i="4"/>
  <c r="AC41" i="4"/>
  <c r="Y42" i="4"/>
  <c r="U43" i="4"/>
  <c r="F40" i="4"/>
  <c r="AL40" i="4"/>
  <c r="N42" i="4"/>
  <c r="J43" i="4"/>
  <c r="D41" i="4"/>
  <c r="G40" i="4"/>
  <c r="W40" i="4"/>
  <c r="AM40" i="4"/>
  <c r="S41" i="4"/>
  <c r="AI41" i="4"/>
  <c r="O42" i="4"/>
  <c r="AE42" i="4"/>
  <c r="K43" i="4"/>
  <c r="AA43" i="4"/>
  <c r="D40" i="4"/>
  <c r="L40" i="4"/>
  <c r="AB40" i="4"/>
  <c r="H41" i="4"/>
  <c r="X41" i="4"/>
  <c r="AN41" i="4"/>
  <c r="T42" i="4"/>
  <c r="AJ42" i="4"/>
  <c r="P43" i="4"/>
  <c r="AF43" i="4"/>
  <c r="AH45" i="4"/>
  <c r="M40" i="4"/>
  <c r="AC40" i="4"/>
  <c r="I41" i="4"/>
  <c r="Y41" i="4"/>
  <c r="E42" i="4"/>
  <c r="U42" i="4"/>
  <c r="AK42" i="4"/>
  <c r="Q43" i="4"/>
  <c r="AG43" i="4"/>
  <c r="AM45" i="4"/>
  <c r="R40" i="4"/>
  <c r="AH40" i="4"/>
  <c r="N41" i="4"/>
  <c r="AD41" i="4"/>
  <c r="J42" i="4"/>
  <c r="Z42" i="4"/>
  <c r="F43" i="4"/>
  <c r="V43" i="4"/>
  <c r="AL43" i="4"/>
  <c r="AJ52" i="4"/>
  <c r="AL52" i="4"/>
  <c r="AG58" i="4"/>
  <c r="AH57" i="4"/>
  <c r="AN57" i="4"/>
  <c r="L53" i="4"/>
  <c r="C133" i="4"/>
  <c r="B102" i="4"/>
  <c r="B165" i="4"/>
  <c r="U58" i="4"/>
  <c r="AG52" i="4"/>
  <c r="AK57" i="4"/>
  <c r="L57" i="4"/>
  <c r="R52" i="4"/>
  <c r="S52" i="4"/>
  <c r="C102" i="4"/>
  <c r="C165" i="4"/>
  <c r="L54" i="4"/>
  <c r="C147" i="4"/>
  <c r="U54" i="4"/>
  <c r="R45" i="4"/>
  <c r="AB52" i="4"/>
  <c r="AE52" i="4"/>
  <c r="B160" i="4"/>
  <c r="C138" i="4"/>
  <c r="AB54" i="4"/>
  <c r="Z45" i="4"/>
  <c r="O54" i="4"/>
  <c r="AJ54" i="4"/>
  <c r="AK53" i="4"/>
  <c r="O52" i="4"/>
  <c r="M57" i="4"/>
  <c r="T52" i="4"/>
  <c r="C105" i="4"/>
  <c r="B166" i="4"/>
  <c r="B111" i="4"/>
  <c r="C118" i="4"/>
  <c r="M45" i="4"/>
  <c r="AE58" i="4"/>
  <c r="C154" i="4"/>
  <c r="X57" i="4"/>
  <c r="C174" i="4"/>
  <c r="B130" i="4"/>
  <c r="AI54" i="4"/>
  <c r="AL54" i="4"/>
  <c r="B121" i="4"/>
  <c r="M53" i="4"/>
  <c r="T57" i="4"/>
  <c r="B129" i="4"/>
  <c r="C159" i="4"/>
  <c r="U53" i="4"/>
  <c r="B112" i="4"/>
  <c r="B106" i="4"/>
  <c r="AC57" i="4"/>
  <c r="C135" i="4"/>
  <c r="C127" i="4"/>
  <c r="AC58" i="4"/>
  <c r="B124" i="4"/>
  <c r="B154" i="4"/>
  <c r="T45" i="4"/>
  <c r="AD53" i="4"/>
  <c r="AE54" i="4"/>
  <c r="Y54" i="4"/>
  <c r="C103" i="4"/>
  <c r="AA52" i="4"/>
  <c r="X54" i="4"/>
  <c r="AF45" i="4"/>
  <c r="K40" i="4"/>
  <c r="G41" i="4"/>
  <c r="W41" i="4"/>
  <c r="S42" i="4"/>
  <c r="O43" i="4"/>
  <c r="AG45" i="4"/>
  <c r="AF40" i="4"/>
  <c r="AB41" i="4"/>
  <c r="X42" i="4"/>
  <c r="AN42" i="4"/>
  <c r="AJ43" i="4"/>
  <c r="Q40" i="4"/>
  <c r="M41" i="4"/>
  <c r="I42" i="4"/>
  <c r="E43" i="4"/>
  <c r="AK43" i="4"/>
  <c r="V40" i="4"/>
  <c r="R41" i="4"/>
  <c r="AH41" i="4"/>
  <c r="AD42" i="4"/>
  <c r="Z43" i="4"/>
  <c r="AI57" i="4"/>
  <c r="P52" i="4"/>
  <c r="B168" i="4"/>
  <c r="M52" i="4"/>
  <c r="C168" i="4"/>
  <c r="N45" i="4"/>
  <c r="B138" i="4"/>
  <c r="AG54" i="4"/>
  <c r="S57" i="4"/>
  <c r="C112" i="4"/>
  <c r="Y53" i="4"/>
  <c r="O57" i="4"/>
  <c r="B120" i="4"/>
  <c r="O45" i="4"/>
  <c r="C160" i="4"/>
  <c r="AC53" i="4"/>
  <c r="C145" i="4"/>
  <c r="P58" i="4"/>
  <c r="W57" i="4"/>
  <c r="B144" i="4"/>
  <c r="Y58" i="4"/>
  <c r="N54" i="4"/>
  <c r="B142" i="4"/>
  <c r="B133" i="4"/>
  <c r="L45" i="4"/>
  <c r="AK58" i="4"/>
  <c r="M58" i="4"/>
  <c r="U57" i="4"/>
  <c r="R58" i="4"/>
  <c r="S54" i="4"/>
  <c r="AB53" i="4"/>
  <c r="X52" i="4"/>
  <c r="AK54" i="4"/>
  <c r="B156" i="4"/>
  <c r="AB57" i="4"/>
  <c r="U52" i="4"/>
  <c r="C163" i="4"/>
  <c r="P45" i="4"/>
  <c r="C108" i="4"/>
  <c r="AI53" i="4"/>
  <c r="C144" i="4"/>
  <c r="M54" i="4"/>
  <c r="W58" i="4"/>
  <c r="AF53" i="4"/>
  <c r="N58" i="4"/>
  <c r="AH54" i="4"/>
  <c r="C132" i="4"/>
  <c r="B141" i="4"/>
  <c r="AE53" i="4"/>
  <c r="V45" i="4"/>
  <c r="O53" i="4"/>
  <c r="B171" i="4"/>
  <c r="V58" i="4"/>
  <c r="R54" i="4"/>
  <c r="B151" i="4"/>
  <c r="B109" i="4"/>
  <c r="Y52" i="4"/>
  <c r="Z53" i="4"/>
  <c r="AC54" i="4"/>
  <c r="AF57" i="4"/>
  <c r="B108" i="4"/>
  <c r="AN53" i="4"/>
  <c r="B153" i="4"/>
  <c r="R57" i="4"/>
  <c r="AM53" i="4"/>
  <c r="S45" i="4"/>
  <c r="G29" i="4" l="1"/>
  <c r="G27" i="4"/>
  <c r="J28" i="4"/>
  <c r="H28" i="4"/>
  <c r="J26" i="4"/>
  <c r="I27" i="4"/>
  <c r="G26" i="4"/>
  <c r="H29" i="4"/>
  <c r="J27" i="4"/>
  <c r="I28" i="4"/>
  <c r="H26" i="4"/>
  <c r="I29" i="4"/>
  <c r="G28" i="4"/>
  <c r="H27" i="4"/>
  <c r="J29" i="4"/>
  <c r="J19" i="1"/>
  <c r="J22" i="1"/>
  <c r="H22" i="1"/>
  <c r="G22" i="1"/>
  <c r="J21" i="1"/>
  <c r="J20" i="1"/>
  <c r="H21" i="1"/>
  <c r="G21" i="1"/>
  <c r="I21" i="1"/>
  <c r="I22" i="1"/>
  <c r="H20" i="1"/>
  <c r="G20" i="1"/>
  <c r="AO40" i="1" s="1" a="1"/>
  <c r="I19" i="1"/>
  <c r="I20" i="1"/>
  <c r="H19" i="1"/>
  <c r="P70" i="4" a="1"/>
  <c r="AD70" i="4" a="1"/>
  <c r="Q70" i="4" a="1"/>
  <c r="AE70" i="4" a="1"/>
  <c r="R70" i="4" a="1"/>
  <c r="AF70" i="4" a="1"/>
  <c r="O70" i="4" a="1"/>
  <c r="AC70" i="4" a="1"/>
  <c r="E33" i="4" l="1" a="1"/>
  <c r="F35" i="4" s="1"/>
  <c r="AR40" i="1" a="1"/>
  <c r="AR40" i="1" s="1"/>
  <c r="AB40" i="1" a="1"/>
  <c r="AB43" i="1" s="1"/>
  <c r="AA40" i="1" a="1"/>
  <c r="AA42" i="1" s="1"/>
  <c r="E33" i="1" a="1"/>
  <c r="H34" i="1" s="1"/>
  <c r="AQ40" i="1" a="1"/>
  <c r="AQ42" i="1" s="1"/>
  <c r="AC40" i="1" a="1"/>
  <c r="AC41" i="1" s="1"/>
  <c r="AP40" i="1" a="1"/>
  <c r="AP42" i="1" s="1"/>
  <c r="AD40" i="1" a="1"/>
  <c r="AD42" i="1" s="1"/>
  <c r="O72" i="4"/>
  <c r="O73" i="4"/>
  <c r="O71" i="4"/>
  <c r="O70" i="4"/>
  <c r="O76" i="4" s="1"/>
  <c r="O81" i="4" s="1"/>
  <c r="Q72" i="4"/>
  <c r="Q73" i="4"/>
  <c r="Q70" i="4"/>
  <c r="Q71" i="4"/>
  <c r="Q77" i="4" s="1"/>
  <c r="Q82" i="4" s="1"/>
  <c r="P91" i="4" s="1"/>
  <c r="AF72" i="4"/>
  <c r="AF73" i="4"/>
  <c r="AF71" i="4"/>
  <c r="AF70" i="4"/>
  <c r="AF76" i="4" s="1"/>
  <c r="AF81" i="4" s="1"/>
  <c r="AC94" i="4" s="1"/>
  <c r="AD72" i="4"/>
  <c r="AD73" i="4"/>
  <c r="AD71" i="4"/>
  <c r="AD70" i="4"/>
  <c r="AD76" i="4" s="1"/>
  <c r="AD81" i="4" s="1"/>
  <c r="AC88" i="4" s="1"/>
  <c r="AA43" i="1"/>
  <c r="AO43" i="1"/>
  <c r="AO41" i="1"/>
  <c r="AO40" i="1"/>
  <c r="AO42" i="1"/>
  <c r="E35" i="1"/>
  <c r="F36" i="1"/>
  <c r="G34" i="1"/>
  <c r="G33" i="1"/>
  <c r="R72" i="4"/>
  <c r="R73" i="4"/>
  <c r="R71" i="4"/>
  <c r="R70" i="4"/>
  <c r="R76" i="4" s="1"/>
  <c r="R81" i="4" s="1"/>
  <c r="O94" i="4" s="1"/>
  <c r="P72" i="4"/>
  <c r="P73" i="4"/>
  <c r="P71" i="4"/>
  <c r="P70" i="4"/>
  <c r="P76" i="4" s="1"/>
  <c r="P81" i="4" s="1"/>
  <c r="O88" i="4" s="1"/>
  <c r="AQ43" i="1"/>
  <c r="AQ41" i="1"/>
  <c r="AB42" i="1"/>
  <c r="AB40" i="1"/>
  <c r="AR41" i="1"/>
  <c r="AC72" i="4"/>
  <c r="AC78" i="4" s="1"/>
  <c r="AC73" i="4"/>
  <c r="AC70" i="4"/>
  <c r="AC71" i="4"/>
  <c r="AC77" i="4" s="1"/>
  <c r="AC82" i="4" s="1"/>
  <c r="AE72" i="4"/>
  <c r="AE78" i="4" s="1"/>
  <c r="AE73" i="4"/>
  <c r="AE70" i="4"/>
  <c r="AE71" i="4"/>
  <c r="AE77" i="4" s="1"/>
  <c r="AE82" i="4" s="1"/>
  <c r="AD91" i="4" s="1"/>
  <c r="F33" i="4" l="1"/>
  <c r="H34" i="4"/>
  <c r="F34" i="4"/>
  <c r="H33" i="4"/>
  <c r="E35" i="4"/>
  <c r="G34" i="4"/>
  <c r="E34" i="4"/>
  <c r="G33" i="4"/>
  <c r="E33" i="4"/>
  <c r="H36" i="4"/>
  <c r="G36" i="4"/>
  <c r="F36" i="4"/>
  <c r="E36" i="4"/>
  <c r="H35" i="4"/>
  <c r="G35" i="4"/>
  <c r="AQ40" i="1"/>
  <c r="F35" i="1"/>
  <c r="H35" i="1"/>
  <c r="AC43" i="1"/>
  <c r="AA48" i="1"/>
  <c r="AR43" i="1"/>
  <c r="AR46" i="1" s="1"/>
  <c r="AR51" i="1" s="1"/>
  <c r="AO64" i="1" s="1"/>
  <c r="AR42" i="1"/>
  <c r="AB41" i="1"/>
  <c r="AB47" i="1" s="1"/>
  <c r="AB52" i="1" s="1"/>
  <c r="AB58" i="1" s="1"/>
  <c r="AA41" i="1"/>
  <c r="AC42" i="1"/>
  <c r="AC48" i="1" s="1"/>
  <c r="AA40" i="1"/>
  <c r="AD41" i="1"/>
  <c r="AA47" i="1"/>
  <c r="AA52" i="1" s="1"/>
  <c r="F33" i="1"/>
  <c r="F34" i="1"/>
  <c r="E33" i="1"/>
  <c r="H33" i="1"/>
  <c r="E34" i="1"/>
  <c r="AO48" i="1"/>
  <c r="AB46" i="1"/>
  <c r="AB51" i="1" s="1"/>
  <c r="AA58" i="1" s="1"/>
  <c r="AQ46" i="1"/>
  <c r="AQ51" i="1" s="1"/>
  <c r="AO61" i="1" s="1"/>
  <c r="G35" i="1"/>
  <c r="G36" i="1"/>
  <c r="E36" i="1"/>
  <c r="H36" i="1"/>
  <c r="AD40" i="1"/>
  <c r="AO47" i="1"/>
  <c r="AO52" i="1" s="1"/>
  <c r="AP63" i="1" s="1"/>
  <c r="AC40" i="1"/>
  <c r="AD43" i="1"/>
  <c r="AD47" i="1" s="1"/>
  <c r="AD52" i="1" s="1"/>
  <c r="AB64" i="1" s="1"/>
  <c r="AP40" i="1"/>
  <c r="AP43" i="1"/>
  <c r="AP41" i="1"/>
  <c r="O87" i="4"/>
  <c r="O93" i="4"/>
  <c r="O90" i="4"/>
  <c r="AE76" i="4"/>
  <c r="AE81" i="4" s="1"/>
  <c r="AC91" i="4" s="1"/>
  <c r="AC76" i="4"/>
  <c r="AC81" i="4" s="1"/>
  <c r="AB48" i="1"/>
  <c r="AQ47" i="1"/>
  <c r="AQ52" i="1" s="1"/>
  <c r="AP61" i="1" s="1"/>
  <c r="P77" i="4"/>
  <c r="P82" i="4" s="1"/>
  <c r="P88" i="4" s="1"/>
  <c r="R77" i="4"/>
  <c r="R82" i="4" s="1"/>
  <c r="P94" i="4" s="1"/>
  <c r="AO46" i="1"/>
  <c r="AO51" i="1" s="1"/>
  <c r="AA46" i="1"/>
  <c r="AA51" i="1" s="1"/>
  <c r="AD77" i="4"/>
  <c r="AD82" i="4" s="1"/>
  <c r="AD88" i="4" s="1"/>
  <c r="AF77" i="4"/>
  <c r="AF82" i="4" s="1"/>
  <c r="AD94" i="4" s="1"/>
  <c r="AP47" i="1"/>
  <c r="AP52" i="1" s="1"/>
  <c r="AP58" i="1" s="1"/>
  <c r="Q76" i="4"/>
  <c r="Q81" i="4" s="1"/>
  <c r="O91" i="4" s="1"/>
  <c r="O77" i="4"/>
  <c r="O82" i="4" s="1"/>
  <c r="AD87" i="4"/>
  <c r="AD90" i="4"/>
  <c r="AD93" i="4"/>
  <c r="AB63" i="1"/>
  <c r="AB60" i="1"/>
  <c r="AB57" i="1"/>
  <c r="AP60" i="1"/>
  <c r="AP57" i="1"/>
  <c r="AP48" i="1"/>
  <c r="AC46" i="1"/>
  <c r="AC51" i="1" s="1"/>
  <c r="AA61" i="1" s="1"/>
  <c r="AQ48" i="1"/>
  <c r="P78" i="4"/>
  <c r="R78" i="4"/>
  <c r="F46" i="1" a="1"/>
  <c r="AD78" i="4"/>
  <c r="AF78" i="4"/>
  <c r="AP46" i="1"/>
  <c r="AP51" i="1" s="1"/>
  <c r="AO58" i="1" s="1"/>
  <c r="AC47" i="1"/>
  <c r="AC52" i="1" s="1"/>
  <c r="AB61" i="1" s="1"/>
  <c r="Q78" i="4"/>
  <c r="O78" i="4"/>
  <c r="AJ46" i="4" l="1" a="1"/>
  <c r="AJ46" i="4" s="1"/>
  <c r="AE46" i="4" a="1"/>
  <c r="AE49" i="4" s="1"/>
  <c r="Q46" i="4" a="1"/>
  <c r="Q48" i="4" s="1"/>
  <c r="R46" i="4" a="1"/>
  <c r="R49" i="4" s="1"/>
  <c r="X46" i="4" a="1"/>
  <c r="X48" i="4" s="1"/>
  <c r="Y46" i="4" a="1"/>
  <c r="Y46" i="4" s="1"/>
  <c r="AI46" i="4" a="1"/>
  <c r="AI47" i="4" s="1"/>
  <c r="AF46" i="4" a="1"/>
  <c r="AF48" i="4" s="1"/>
  <c r="G46" i="4" a="1"/>
  <c r="G46" i="4" s="1"/>
  <c r="AG46" i="4" a="1"/>
  <c r="AG48" i="4" s="1"/>
  <c r="K46" i="4" a="1"/>
  <c r="K48" i="4" s="1"/>
  <c r="Z46" i="4" a="1"/>
  <c r="Z49" i="4" s="1"/>
  <c r="O46" i="4" a="1"/>
  <c r="O49" i="4" s="1"/>
  <c r="M46" i="4" a="1"/>
  <c r="M47" i="4" s="1"/>
  <c r="U46" i="4" a="1"/>
  <c r="U47" i="4" s="1"/>
  <c r="AK46" i="4" a="1"/>
  <c r="AK48" i="4" s="1"/>
  <c r="AD46" i="4" a="1"/>
  <c r="AD49" i="4" s="1"/>
  <c r="T46" i="4" a="1"/>
  <c r="T46" i="4" s="1"/>
  <c r="E46" i="4" a="1"/>
  <c r="E46" i="4" s="1"/>
  <c r="P46" i="4" a="1"/>
  <c r="P48" i="4" s="1"/>
  <c r="N46" i="4" a="1"/>
  <c r="N49" i="4" s="1"/>
  <c r="AL46" i="4" a="1"/>
  <c r="AL49" i="4" s="1"/>
  <c r="AM46" i="4" a="1"/>
  <c r="AM49" i="4" s="1"/>
  <c r="W46" i="4" a="1"/>
  <c r="W49" i="4" s="1"/>
  <c r="AB46" i="4" a="1"/>
  <c r="AB48" i="4" s="1"/>
  <c r="L46" i="4" a="1"/>
  <c r="L46" i="4" s="1"/>
  <c r="J46" i="4" a="1"/>
  <c r="J46" i="4" s="1"/>
  <c r="AC46" i="4" a="1"/>
  <c r="AC48" i="4" s="1"/>
  <c r="AN46" i="4" a="1"/>
  <c r="AN46" i="4" s="1"/>
  <c r="AA46" i="4" a="1"/>
  <c r="AA48" i="4" s="1"/>
  <c r="S46" i="4" a="1"/>
  <c r="S49" i="4" s="1"/>
  <c r="V46" i="4" a="1"/>
  <c r="V46" i="4" s="1"/>
  <c r="H46" i="4" a="1"/>
  <c r="H46" i="4" s="1"/>
  <c r="I46" i="4" a="1"/>
  <c r="I46" i="4" s="1"/>
  <c r="F46" i="4" a="1"/>
  <c r="F49" i="4" s="1"/>
  <c r="D46" i="4" a="1"/>
  <c r="D48" i="4" s="1"/>
  <c r="AH46" i="4" a="1"/>
  <c r="AH47" i="4" s="1"/>
  <c r="E46" i="1" a="1"/>
  <c r="D46" i="1" a="1"/>
  <c r="AR47" i="1"/>
  <c r="AR52" i="1" s="1"/>
  <c r="AP64" i="1" s="1"/>
  <c r="G46" i="1" a="1"/>
  <c r="G47" i="1" s="1"/>
  <c r="AR48" i="1"/>
  <c r="AD46" i="1"/>
  <c r="AD51" i="1" s="1"/>
  <c r="AA64" i="1" s="1"/>
  <c r="AD48" i="1"/>
  <c r="AA60" i="1"/>
  <c r="AA57" i="1"/>
  <c r="AA63" i="1"/>
  <c r="F47" i="1"/>
  <c r="F46" i="1"/>
  <c r="F48" i="1"/>
  <c r="F49" i="1"/>
  <c r="AO57" i="1"/>
  <c r="AO60" i="1"/>
  <c r="AO63" i="1"/>
  <c r="E47" i="1"/>
  <c r="E46" i="1"/>
  <c r="E48" i="1"/>
  <c r="E49" i="1"/>
  <c r="P87" i="4"/>
  <c r="P93" i="4"/>
  <c r="P90" i="4"/>
  <c r="D47" i="1"/>
  <c r="D46" i="1"/>
  <c r="D48" i="1"/>
  <c r="D49" i="1"/>
  <c r="AC90" i="4"/>
  <c r="AC93" i="4"/>
  <c r="AC87" i="4"/>
  <c r="R46" i="4" l="1"/>
  <c r="AN49" i="4"/>
  <c r="AJ47" i="4"/>
  <c r="K47" i="4"/>
  <c r="AI46" i="4"/>
  <c r="Q49" i="4"/>
  <c r="Y49" i="4"/>
  <c r="L48" i="4"/>
  <c r="AG46" i="4"/>
  <c r="U48" i="4"/>
  <c r="AI49" i="4"/>
  <c r="Q46" i="4"/>
  <c r="U46" i="4"/>
  <c r="AF47" i="4"/>
  <c r="K46" i="4"/>
  <c r="E49" i="4"/>
  <c r="AM48" i="4"/>
  <c r="W48" i="4"/>
  <c r="Z48" i="4"/>
  <c r="Q47" i="4"/>
  <c r="P46" i="4"/>
  <c r="AK49" i="4"/>
  <c r="K49" i="4"/>
  <c r="U49" i="4"/>
  <c r="AI48" i="4"/>
  <c r="J49" i="4"/>
  <c r="AC49" i="4"/>
  <c r="E47" i="4"/>
  <c r="O47" i="4"/>
  <c r="AJ48" i="4"/>
  <c r="X47" i="4"/>
  <c r="AD46" i="4"/>
  <c r="G49" i="4"/>
  <c r="AH48" i="4"/>
  <c r="AJ49" i="4"/>
  <c r="X49" i="4"/>
  <c r="F46" i="4"/>
  <c r="AM46" i="4"/>
  <c r="J48" i="4"/>
  <c r="AB46" i="4"/>
  <c r="N46" i="4"/>
  <c r="AG47" i="4"/>
  <c r="AE48" i="4"/>
  <c r="Y48" i="4"/>
  <c r="AE46" i="4"/>
  <c r="M49" i="4"/>
  <c r="AG49" i="4"/>
  <c r="AE47" i="4"/>
  <c r="Y47" i="4"/>
  <c r="AL48" i="4"/>
  <c r="T49" i="4"/>
  <c r="Z46" i="4"/>
  <c r="J47" i="4"/>
  <c r="W47" i="4"/>
  <c r="Z47" i="4"/>
  <c r="AC47" i="4"/>
  <c r="R47" i="4"/>
  <c r="E48" i="4"/>
  <c r="AM47" i="4"/>
  <c r="AF46" i="4"/>
  <c r="F47" i="4"/>
  <c r="V48" i="4"/>
  <c r="S47" i="4"/>
  <c r="AK46" i="4"/>
  <c r="P49" i="4"/>
  <c r="V49" i="4"/>
  <c r="W46" i="4"/>
  <c r="AC46" i="4"/>
  <c r="R48" i="4"/>
  <c r="AF49" i="4"/>
  <c r="V47" i="4"/>
  <c r="S48" i="4"/>
  <c r="AK47" i="4"/>
  <c r="P47" i="4"/>
  <c r="D47" i="4"/>
  <c r="S46" i="4"/>
  <c r="AB49" i="4"/>
  <c r="O46" i="4"/>
  <c r="N47" i="4"/>
  <c r="G48" i="4"/>
  <c r="X46" i="4"/>
  <c r="AD47" i="4"/>
  <c r="H48" i="4"/>
  <c r="AN48" i="4"/>
  <c r="AB47" i="4"/>
  <c r="O48" i="4"/>
  <c r="N48" i="4"/>
  <c r="AH46" i="4"/>
  <c r="G47" i="4"/>
  <c r="AD48" i="4"/>
  <c r="H47" i="4"/>
  <c r="AN47" i="4"/>
  <c r="H49" i="4"/>
  <c r="AH49" i="4"/>
  <c r="F48" i="4"/>
  <c r="AA47" i="4"/>
  <c r="D49" i="4"/>
  <c r="D46" i="4"/>
  <c r="I48" i="4"/>
  <c r="L47" i="4"/>
  <c r="M46" i="4"/>
  <c r="T47" i="4"/>
  <c r="AL47" i="4"/>
  <c r="I47" i="4"/>
  <c r="AA49" i="4"/>
  <c r="M48" i="4"/>
  <c r="AL46" i="4"/>
  <c r="I49" i="4"/>
  <c r="AA46" i="4"/>
  <c r="L49" i="4"/>
  <c r="T48" i="4"/>
  <c r="G48" i="1"/>
  <c r="Q48" i="1" s="1"/>
  <c r="G49" i="1"/>
  <c r="N48" i="1"/>
  <c r="G46" i="1"/>
  <c r="Q46" i="1" s="1"/>
  <c r="G52" i="1" s="1"/>
  <c r="B64" i="1" s="1"/>
  <c r="O46" i="1"/>
  <c r="E52" i="1" s="1"/>
  <c r="B65" i="1" s="1"/>
  <c r="P47" i="1"/>
  <c r="F53" i="1" s="1"/>
  <c r="P48" i="1"/>
  <c r="O48" i="1"/>
  <c r="P46" i="1"/>
  <c r="F52" i="1" s="1"/>
  <c r="B66" i="1" s="1"/>
  <c r="C66" i="1"/>
  <c r="C63" i="1"/>
  <c r="N46" i="1"/>
  <c r="D52" i="1" s="1"/>
  <c r="O47" i="1"/>
  <c r="E53" i="1" s="1"/>
  <c r="Q47" i="1"/>
  <c r="G53" i="1" s="1"/>
  <c r="N47" i="1"/>
  <c r="D53" i="1" s="1"/>
  <c r="B63" i="1"/>
  <c r="K53" i="4"/>
  <c r="G52" i="4"/>
  <c r="J53" i="4"/>
  <c r="G45" i="4"/>
  <c r="H54" i="4"/>
  <c r="G54" i="4"/>
  <c r="D54" i="4"/>
  <c r="I45" i="4"/>
  <c r="J52" i="4"/>
  <c r="H45" i="4"/>
  <c r="D53" i="4"/>
  <c r="E52" i="4"/>
  <c r="K54" i="4"/>
  <c r="F52" i="4"/>
  <c r="F53" i="4"/>
  <c r="G53" i="4"/>
  <c r="H53" i="4"/>
  <c r="D45" i="4"/>
  <c r="I54" i="4"/>
  <c r="J45" i="4"/>
  <c r="F45" i="4"/>
  <c r="K52" i="4"/>
  <c r="E53" i="4"/>
  <c r="J54" i="4"/>
  <c r="E45" i="4"/>
  <c r="H52" i="4"/>
  <c r="F54" i="4"/>
  <c r="D52" i="4"/>
  <c r="I53" i="4"/>
  <c r="K45" i="4"/>
  <c r="E54" i="4"/>
  <c r="I52" i="4"/>
  <c r="B68" i="1" l="1"/>
  <c r="B62" i="1"/>
  <c r="C65" i="1"/>
  <c r="C62" i="1"/>
  <c r="C67" i="1"/>
  <c r="C61" i="1"/>
  <c r="B67" i="1"/>
  <c r="B61" i="1"/>
  <c r="C68" i="1"/>
  <c r="C64" i="1"/>
  <c r="I57" i="4"/>
  <c r="E58" i="4"/>
  <c r="F58" i="4"/>
  <c r="J57" i="4"/>
  <c r="D57" i="4"/>
  <c r="G57" i="4"/>
  <c r="G58" i="4"/>
  <c r="D58" i="4"/>
  <c r="I58" i="4"/>
  <c r="K57" i="4"/>
  <c r="F57" i="4"/>
  <c r="J58" i="4"/>
  <c r="H58" i="4"/>
  <c r="E57" i="4"/>
  <c r="H57" i="4"/>
  <c r="K58" i="4"/>
  <c r="B94" i="4"/>
  <c r="B79" i="4"/>
  <c r="B81" i="4"/>
  <c r="C67" i="4"/>
  <c r="C69" i="4"/>
  <c r="C93" i="4"/>
  <c r="C96" i="4"/>
  <c r="C72" i="4"/>
  <c r="C70" i="4"/>
  <c r="B97" i="4"/>
  <c r="B82" i="4"/>
  <c r="B84" i="4"/>
  <c r="B66" i="4"/>
  <c r="B90" i="4"/>
  <c r="B76" i="4"/>
  <c r="B99" i="4"/>
  <c r="B75" i="4"/>
  <c r="B73" i="4"/>
  <c r="C75" i="4"/>
  <c r="C99" i="4"/>
  <c r="C73" i="4"/>
  <c r="C76" i="4"/>
  <c r="C66" i="4"/>
  <c r="C90" i="4"/>
  <c r="C94" i="4"/>
  <c r="C81" i="4"/>
  <c r="C79" i="4"/>
  <c r="B87" i="4"/>
  <c r="B100" i="4"/>
  <c r="B85" i="4"/>
  <c r="B96" i="4"/>
  <c r="B70" i="4"/>
  <c r="B72" i="4"/>
  <c r="C82" i="4"/>
  <c r="C84" i="4"/>
  <c r="C97" i="4"/>
  <c r="C88" i="4"/>
  <c r="C91" i="4"/>
  <c r="C78" i="4"/>
  <c r="B67" i="4"/>
  <c r="B93" i="4"/>
  <c r="B69" i="4"/>
  <c r="B78" i="4"/>
  <c r="B88" i="4"/>
  <c r="B91" i="4"/>
  <c r="C85" i="4"/>
  <c r="C87" i="4"/>
  <c r="C100" i="4"/>
</calcChain>
</file>

<file path=xl/sharedStrings.xml><?xml version="1.0" encoding="utf-8"?>
<sst xmlns="http://schemas.openxmlformats.org/spreadsheetml/2006/main" count="798" uniqueCount="243">
  <si>
    <t>Screen</t>
  </si>
  <si>
    <t>Res X</t>
  </si>
  <si>
    <t>Res Y</t>
  </si>
  <si>
    <t>Perspective</t>
  </si>
  <si>
    <t>FovY</t>
  </si>
  <si>
    <t>A</t>
  </si>
  <si>
    <t>a</t>
  </si>
  <si>
    <t>n</t>
  </si>
  <si>
    <t>f</t>
  </si>
  <si>
    <t>Pp</t>
  </si>
  <si>
    <t>View</t>
  </si>
  <si>
    <t>Cx</t>
  </si>
  <si>
    <t>Cy</t>
  </si>
  <si>
    <t>Cz</t>
  </si>
  <si>
    <t>Alfa</t>
  </si>
  <si>
    <t>Beta</t>
  </si>
  <si>
    <t>Rho</t>
  </si>
  <si>
    <t>Mv</t>
  </si>
  <si>
    <t>Rz</t>
  </si>
  <si>
    <t>Rx</t>
  </si>
  <si>
    <t>Ry</t>
  </si>
  <si>
    <t>T</t>
  </si>
  <si>
    <t>World</t>
  </si>
  <si>
    <t>Roll</t>
  </si>
  <si>
    <t>Pitch</t>
  </si>
  <si>
    <t>Yaw</t>
  </si>
  <si>
    <t>Px</t>
  </si>
  <si>
    <t>Py</t>
  </si>
  <si>
    <t>Pz</t>
  </si>
  <si>
    <t>Sx</t>
  </si>
  <si>
    <t>Sy</t>
  </si>
  <si>
    <t>Sz</t>
  </si>
  <si>
    <t>S</t>
  </si>
  <si>
    <t>Mw</t>
  </si>
  <si>
    <t>Points</t>
  </si>
  <si>
    <t>B</t>
  </si>
  <si>
    <t>C</t>
  </si>
  <si>
    <t>D</t>
  </si>
  <si>
    <t>World-View-Projection</t>
  </si>
  <si>
    <t>Projections calculator</t>
  </si>
  <si>
    <t>To perform the drawing</t>
  </si>
  <si>
    <t>x</t>
  </si>
  <si>
    <t>y</t>
  </si>
  <si>
    <t>Clipping Coordinates</t>
  </si>
  <si>
    <t>Normalized Screen Coordinates</t>
  </si>
  <si>
    <t>Pixel Coordinates</t>
  </si>
  <si>
    <t>&lt;---</t>
  </si>
  <si>
    <t>Added the fourth component equal to 1</t>
  </si>
  <si>
    <t>Camera</t>
  </si>
  <si>
    <t>O</t>
  </si>
  <si>
    <t>z</t>
  </si>
  <si>
    <t>Axes</t>
  </si>
  <si>
    <t>Center projections</t>
  </si>
  <si>
    <t>Object</t>
  </si>
  <si>
    <t>};</t>
  </si>
  <si>
    <t>static</t>
  </si>
  <si>
    <t>PROGMEM</t>
  </si>
  <si>
    <t>prog_char</t>
  </si>
  <si>
    <t>ADDER_vertices[]</t>
  </si>
  <si>
    <t>=</t>
  </si>
  <si>
    <t>{</t>
  </si>
  <si>
    <t>prog_uchar</t>
  </si>
  <si>
    <t>ADDER_edges[]</t>
  </si>
  <si>
    <t>ANACONDA_vertices[]</t>
  </si>
  <si>
    <t>ANACONDA_edges[]</t>
  </si>
  <si>
    <t>ASP_vertices[]</t>
  </si>
  <si>
    <t>ASP_edges[]</t>
  </si>
  <si>
    <t>ASTEROID_vertices[]</t>
  </si>
  <si>
    <t>ASTEROID_edges[]</t>
  </si>
  <si>
    <t>BARREL_vertices[]</t>
  </si>
  <si>
    <t>BARREL_edges[]</t>
  </si>
  <si>
    <t>BOA_vertices[]</t>
  </si>
  <si>
    <t>BOA_edges[]</t>
  </si>
  <si>
    <t>BOULDER_vertices[]</t>
  </si>
  <si>
    <t>BOULDER_edges[]</t>
  </si>
  <si>
    <t>CAPSULE_vertices[]</t>
  </si>
  <si>
    <t>CAPSULE_edges[]</t>
  </si>
  <si>
    <t>COBRA_vertices[]</t>
  </si>
  <si>
    <t>COBRA_edges[]</t>
  </si>
  <si>
    <t>COBRAMK1_vertices[]</t>
  </si>
  <si>
    <t>COBRAMK1_edges[]</t>
  </si>
  <si>
    <t>CONSTRICTOR_vertices[]</t>
  </si>
  <si>
    <t>CONSTRICTOR_edges[]</t>
  </si>
  <si>
    <t>CORIOLIS_vertices[]</t>
  </si>
  <si>
    <t>CORIOLIS_edges[]</t>
  </si>
  <si>
    <t>COUGAR_vertices[]</t>
  </si>
  <si>
    <t>COUGAR_edges[]</t>
  </si>
  <si>
    <t>DODO_vertices[]</t>
  </si>
  <si>
    <t>DODO_edges[]</t>
  </si>
  <si>
    <t>FERDELANCE_vertices[]</t>
  </si>
  <si>
    <t>FERDELANCE_edges[]</t>
  </si>
  <si>
    <t>GECKO_vertices[]</t>
  </si>
  <si>
    <t>GECKO_edges[]</t>
  </si>
  <si>
    <t>KRAIT_vertices[]</t>
  </si>
  <si>
    <t>KRAIT_edges[]</t>
  </si>
  <si>
    <t>MAMBA_vertices[]</t>
  </si>
  <si>
    <t>MAMBA_edges[]</t>
  </si>
  <si>
    <t>MISSILE_vertices[]</t>
  </si>
  <si>
    <t>MISSILE_edges[]</t>
  </si>
  <si>
    <t>MORAY_vertices[]</t>
  </si>
  <si>
    <t>MORAY_edges[]</t>
  </si>
  <si>
    <t>PLATELET_vertices[]</t>
  </si>
  <si>
    <t>PLATELET_edges[]</t>
  </si>
  <si>
    <t>PYTHON_vertices[]</t>
  </si>
  <si>
    <t>PYTHON_edges[]</t>
  </si>
  <si>
    <t>SIDEWINDER_vertices[]</t>
  </si>
  <si>
    <t>SIDEWINDER_edges[]</t>
  </si>
  <si>
    <t>SHUTTLE_vertices[]</t>
  </si>
  <si>
    <t>SHUTTLE_edges[]</t>
  </si>
  <si>
    <t>THARGLET_vertices[]</t>
  </si>
  <si>
    <t>THARGLET_edges[]</t>
  </si>
  <si>
    <t>THARGOID_vertices[]</t>
  </si>
  <si>
    <t>THARGOID_edges[]</t>
  </si>
  <si>
    <t>TRANSPORTER_vertices[]</t>
  </si>
  <si>
    <t>TRANSPORTER_edges[]</t>
  </si>
  <si>
    <t>VIPER_vertices[]</t>
  </si>
  <si>
    <t>VIPER_edges[]</t>
  </si>
  <si>
    <t>WORM_vertices[]</t>
  </si>
  <si>
    <t>WORM_edges[]</t>
  </si>
  <si>
    <t>ADDER</t>
  </si>
  <si>
    <t>ADDER_vertices</t>
  </si>
  <si>
    <t>ADDER_edges</t>
  </si>
  <si>
    <t>}</t>
  </si>
  <si>
    <t>ANACONDA</t>
  </si>
  <si>
    <t>ANACONDA_vertices</t>
  </si>
  <si>
    <t>ANACONDA_edges</t>
  </si>
  <si>
    <t>ASP</t>
  </si>
  <si>
    <t>ASP_vertices</t>
  </si>
  <si>
    <t>ASP_edges</t>
  </si>
  <si>
    <t>ASTEROID</t>
  </si>
  <si>
    <t>ASTEROID_vertices</t>
  </si>
  <si>
    <t>ASTEROID_edges</t>
  </si>
  <si>
    <t>BARREL</t>
  </si>
  <si>
    <t>BARREL_vertices</t>
  </si>
  <si>
    <t>BARREL_edges</t>
  </si>
  <si>
    <t>BOA</t>
  </si>
  <si>
    <t>BOA_vertices</t>
  </si>
  <si>
    <t>BOA_edges</t>
  </si>
  <si>
    <t>BOULDER</t>
  </si>
  <si>
    <t>BOULDER_vertices</t>
  </si>
  <si>
    <t>BOULDER_edges</t>
  </si>
  <si>
    <t>CAPSULE</t>
  </si>
  <si>
    <t>CAPSULE_vertices</t>
  </si>
  <si>
    <t>CAPSULE_edges</t>
  </si>
  <si>
    <t>COBRA</t>
  </si>
  <si>
    <t>COBRA_vertices</t>
  </si>
  <si>
    <t>COBRA_edges</t>
  </si>
  <si>
    <t>COBRAMK1</t>
  </si>
  <si>
    <t>COBRAMK1_vertices</t>
  </si>
  <si>
    <t>COBRAMK1_edges</t>
  </si>
  <si>
    <t>CONSTRICTOR</t>
  </si>
  <si>
    <t>CONSTRICTOR_vertices</t>
  </si>
  <si>
    <t>CONSTRICTOR_edges</t>
  </si>
  <si>
    <t>CORIOLIS</t>
  </si>
  <si>
    <t>CORIOLIS_vertices</t>
  </si>
  <si>
    <t>CORIOLIS_edges</t>
  </si>
  <si>
    <t>COUGAR</t>
  </si>
  <si>
    <t>COUGAR_vertices</t>
  </si>
  <si>
    <t>COUGAR_edges</t>
  </si>
  <si>
    <t>DODO</t>
  </si>
  <si>
    <t>DODO_vertices</t>
  </si>
  <si>
    <t>DODO_edges</t>
  </si>
  <si>
    <t>FERDELANCE</t>
  </si>
  <si>
    <t>FERDELANCE_vertices</t>
  </si>
  <si>
    <t>FERDELANCE_edges</t>
  </si>
  <si>
    <t>GECKO</t>
  </si>
  <si>
    <t>GECKO_vertices</t>
  </si>
  <si>
    <t>GECKO_edges</t>
  </si>
  <si>
    <t>KRAIT</t>
  </si>
  <si>
    <t>KRAIT_vertices</t>
  </si>
  <si>
    <t>KRAIT_edges</t>
  </si>
  <si>
    <t>MAMBA</t>
  </si>
  <si>
    <t>MAMBA_vertices</t>
  </si>
  <si>
    <t>MAMBA_edges</t>
  </si>
  <si>
    <t>MISSILE</t>
  </si>
  <si>
    <t>MISSILE_vertices</t>
  </si>
  <si>
    <t>MISSILE_edges</t>
  </si>
  <si>
    <t>MORAY</t>
  </si>
  <si>
    <t>MORAY_vertices</t>
  </si>
  <si>
    <t>MORAY_edges</t>
  </si>
  <si>
    <t>PLATELET</t>
  </si>
  <si>
    <t>PLATELET_vertices</t>
  </si>
  <si>
    <t>PLATELET_edges</t>
  </si>
  <si>
    <t>PYTHON</t>
  </si>
  <si>
    <t>PYTHON_vertices</t>
  </si>
  <si>
    <t>PYTHON_edges</t>
  </si>
  <si>
    <t>SIDEWINDER</t>
  </si>
  <si>
    <t>SIDEWINDER_vertices</t>
  </si>
  <si>
    <t>SIDEWINDER_edges</t>
  </si>
  <si>
    <t>SHUTTLE</t>
  </si>
  <si>
    <t>SHUTTLE_vertices</t>
  </si>
  <si>
    <t>SHUTTLE_edges</t>
  </si>
  <si>
    <t>THARGLET</t>
  </si>
  <si>
    <t>THARGLET_vertices</t>
  </si>
  <si>
    <t>THARGLET_edges</t>
  </si>
  <si>
    <t>THARGOID</t>
  </si>
  <si>
    <t>THARGOID_vertices</t>
  </si>
  <si>
    <t>THARGOID_edges</t>
  </si>
  <si>
    <t>TRANSPORTER</t>
  </si>
  <si>
    <t>TRANSPORTER_vertices</t>
  </si>
  <si>
    <t>TRANSPORTER_edges</t>
  </si>
  <si>
    <t>VIPER</t>
  </si>
  <si>
    <t>VIPER_vertices</t>
  </si>
  <si>
    <t>VIPER_edges</t>
  </si>
  <si>
    <t>WORM</t>
  </si>
  <si>
    <t>WORM_vertices</t>
  </si>
  <si>
    <t>WORM_edges</t>
  </si>
  <si>
    <t>Ship</t>
  </si>
  <si>
    <t>CUBE_vertices[]</t>
  </si>
  <si>
    <t>CUBE_edges[]</t>
  </si>
  <si>
    <t>TETRA_vertices[]</t>
  </si>
  <si>
    <t>TETRA_edges[]</t>
  </si>
  <si>
    <t>PYRAMID_vertices[]</t>
  </si>
  <si>
    <t>PYRAMID_edges[]</t>
  </si>
  <si>
    <t>PRISM_vertices[]</t>
  </si>
  <si>
    <t>PRISM_edges[]</t>
  </si>
  <si>
    <t>CUBE</t>
  </si>
  <si>
    <t>CUBE_vertices</t>
  </si>
  <si>
    <t>CUBE_edges</t>
  </si>
  <si>
    <t>TETRA</t>
  </si>
  <si>
    <t>PYRAMID</t>
  </si>
  <si>
    <t>PRISM</t>
  </si>
  <si>
    <t>TETRA_vertices</t>
  </si>
  <si>
    <t>PYRAMID_vertices</t>
  </si>
  <si>
    <t>PRISM_vertices</t>
  </si>
  <si>
    <t>TETRA_edges</t>
  </si>
  <si>
    <t>PYRAMID_edges</t>
  </si>
  <si>
    <t>PRISM_edges</t>
  </si>
  <si>
    <t>Vertex visible</t>
  </si>
  <si>
    <t>Step III</t>
  </si>
  <si>
    <t>Step II</t>
  </si>
  <si>
    <t>Step I</t>
  </si>
  <si>
    <t>Step I-II-III</t>
  </si>
  <si>
    <t>Step IV</t>
  </si>
  <si>
    <t>Step IV -------&gt;</t>
  </si>
  <si>
    <t>Step V</t>
  </si>
  <si>
    <t>Local coordinates</t>
  </si>
  <si>
    <t>Step I.a</t>
  </si>
  <si>
    <t>&lt;-----Values in this box can be manually changed to see how they effect the world-view-projection matrix</t>
  </si>
  <si>
    <t>Chang manualy or with the controls on the right</t>
  </si>
  <si>
    <t>Here you can see the matrices</t>
  </si>
  <si>
    <t>corresponding to the values</t>
  </si>
  <si>
    <t>in the boxes on the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</si>
</sst>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scheme val="minor"/>
    </font>
    <font>
      <sz val="18"/>
      <color theme="1"/>
      <name val="Calibri"/>
      <scheme val="minor"/>
    </font>
    <font>
      <i/>
      <sz val="12"/>
      <color theme="1"/>
      <name val="Calibri"/>
      <scheme val="minor"/>
    </font>
    <font>
      <sz val="12"/>
      <color rgb="FF000000"/>
      <name val="Lucida Grande"/>
      <family val="2"/>
    </font>
    <font>
      <sz val="12"/>
      <color rgb="FF000000"/>
      <name val="Helvetica"/>
      <family val="2"/>
    </font>
    <font>
      <sz val="12"/>
      <color rgb="FFFF0000"/>
      <name val="Times Roman"/>
    </font>
    <font>
      <sz val="10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D49A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thin">
        <color auto="1"/>
      </left>
      <right style="mediumDashed">
        <color auto="1"/>
      </right>
      <top style="thin">
        <color auto="1"/>
      </top>
      <bottom style="thin">
        <color auto="1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Dashed">
        <color auto="1"/>
      </right>
      <top style="mediumDashed">
        <color auto="1"/>
      </top>
      <bottom style="mediumDashed">
        <color auto="1"/>
      </bottom>
      <diagonal/>
    </border>
  </borders>
  <cellStyleXfs count="118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1">
    <xf numFmtId="0" fontId="0" fillId="0" borderId="0" xfId="0"/>
    <xf numFmtId="0" fontId="1" fillId="4" borderId="1" xfId="1" applyFill="1"/>
    <xf numFmtId="0" fontId="1" fillId="5" borderId="1" xfId="1" applyFill="1"/>
    <xf numFmtId="0" fontId="0" fillId="4" borderId="2" xfId="0" applyFill="1" applyBorder="1"/>
    <xf numFmtId="0" fontId="0" fillId="6" borderId="2" xfId="0" applyFill="1" applyBorder="1"/>
    <xf numFmtId="0" fontId="0" fillId="5" borderId="2" xfId="0" applyFill="1" applyBorder="1"/>
    <xf numFmtId="0" fontId="1" fillId="7" borderId="1" xfId="1" applyFill="1"/>
    <xf numFmtId="0" fontId="1" fillId="8" borderId="1" xfId="1" applyFill="1"/>
    <xf numFmtId="0" fontId="1" fillId="5" borderId="2" xfId="1" applyFill="1" applyBorder="1"/>
    <xf numFmtId="0" fontId="1" fillId="4" borderId="2" xfId="1" applyFill="1" applyBorder="1"/>
    <xf numFmtId="0" fontId="1" fillId="7" borderId="2" xfId="1" applyFill="1" applyBorder="1"/>
    <xf numFmtId="0" fontId="1" fillId="8" borderId="2" xfId="1" applyFill="1" applyBorder="1"/>
    <xf numFmtId="0" fontId="0" fillId="10" borderId="2" xfId="0" applyFill="1" applyBorder="1"/>
    <xf numFmtId="0" fontId="0" fillId="3" borderId="2" xfId="0" applyFill="1" applyBorder="1"/>
    <xf numFmtId="0" fontId="0" fillId="7" borderId="2" xfId="0" applyFill="1" applyBorder="1"/>
    <xf numFmtId="0" fontId="0" fillId="11" borderId="2" xfId="0" applyFill="1" applyBorder="1"/>
    <xf numFmtId="0" fontId="0" fillId="12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13" borderId="2" xfId="0" applyFill="1" applyBorder="1"/>
    <xf numFmtId="0" fontId="0" fillId="14" borderId="2" xfId="0" applyFill="1" applyBorder="1"/>
    <xf numFmtId="0" fontId="0" fillId="15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18" borderId="4" xfId="0" applyFill="1" applyBorder="1" applyAlignment="1">
      <alignment horizontal="right"/>
    </xf>
    <xf numFmtId="0" fontId="0" fillId="18" borderId="3" xfId="0" applyFill="1" applyBorder="1" applyAlignment="1">
      <alignment horizontal="right"/>
    </xf>
    <xf numFmtId="0" fontId="0" fillId="18" borderId="5" xfId="0" applyFill="1" applyBorder="1" applyAlignment="1">
      <alignment horizontal="right"/>
    </xf>
    <xf numFmtId="0" fontId="0" fillId="19" borderId="2" xfId="0" applyFill="1" applyBorder="1"/>
    <xf numFmtId="0" fontId="5" fillId="0" borderId="0" xfId="0" applyFont="1"/>
    <xf numFmtId="2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0" xfId="0" applyFont="1"/>
    <xf numFmtId="0" fontId="0" fillId="20" borderId="0" xfId="0" applyFill="1"/>
    <xf numFmtId="1" fontId="0" fillId="20" borderId="0" xfId="0" applyNumberFormat="1" applyFill="1"/>
    <xf numFmtId="0" fontId="0" fillId="5" borderId="0" xfId="0" applyFill="1"/>
    <xf numFmtId="0" fontId="7" fillId="0" borderId="0" xfId="0" applyFont="1"/>
    <xf numFmtId="19" fontId="0" fillId="0" borderId="0" xfId="0" applyNumberFormat="1"/>
    <xf numFmtId="0" fontId="10" fillId="0" borderId="0" xfId="0" applyFont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1" fillId="4" borderId="1" xfId="1" applyFill="1" applyBorder="1"/>
    <xf numFmtId="0" fontId="1" fillId="5" borderId="1" xfId="1" applyFill="1" applyBorder="1"/>
    <xf numFmtId="0" fontId="10" fillId="0" borderId="6" xfId="0" applyFont="1" applyBorder="1"/>
    <xf numFmtId="0" fontId="1" fillId="7" borderId="1" xfId="1" applyFill="1" applyBorder="1"/>
    <xf numFmtId="0" fontId="1" fillId="8" borderId="1" xfId="1" applyFill="1" applyBorder="1"/>
    <xf numFmtId="0" fontId="0" fillId="5" borderId="8" xfId="0" applyFill="1" applyBorder="1"/>
    <xf numFmtId="0" fontId="0" fillId="8" borderId="8" xfId="0" applyFill="1" applyBorder="1"/>
    <xf numFmtId="0" fontId="0" fillId="17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9" fontId="0" fillId="0" borderId="0" xfId="0" applyNumberFormat="1" applyAlignment="1">
      <alignment horizontal="center"/>
    </xf>
  </cellXfs>
  <cellStyles count="11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Input" xfId="1" builtinId="20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mpd="sng"/>
          </c:spPr>
          <c:marker>
            <c:symbol val="none"/>
          </c:marker>
          <c:xVal>
            <c:numRef>
              <c:f>Main!$B$61:$B$68</c:f>
              <c:numCache>
                <c:formatCode>General</c:formatCode>
                <c:ptCount val="8"/>
                <c:pt idx="0">
                  <c:v>358</c:v>
                </c:pt>
                <c:pt idx="1">
                  <c:v>411</c:v>
                </c:pt>
                <c:pt idx="2">
                  <c:v>467</c:v>
                </c:pt>
                <c:pt idx="3">
                  <c:v>493</c:v>
                </c:pt>
                <c:pt idx="4">
                  <c:v>411</c:v>
                </c:pt>
                <c:pt idx="5">
                  <c:v>467</c:v>
                </c:pt>
                <c:pt idx="6">
                  <c:v>358</c:v>
                </c:pt>
                <c:pt idx="7">
                  <c:v>493</c:v>
                </c:pt>
              </c:numCache>
            </c:numRef>
          </c:xVal>
          <c:yVal>
            <c:numRef>
              <c:f>Main!$C$61:$C$68</c:f>
              <c:numCache>
                <c:formatCode>General</c:formatCode>
                <c:ptCount val="8"/>
                <c:pt idx="0">
                  <c:v>222</c:v>
                </c:pt>
                <c:pt idx="1">
                  <c:v>208</c:v>
                </c:pt>
                <c:pt idx="2">
                  <c:v>188</c:v>
                </c:pt>
                <c:pt idx="3">
                  <c:v>234</c:v>
                </c:pt>
                <c:pt idx="4">
                  <c:v>208</c:v>
                </c:pt>
                <c:pt idx="5">
                  <c:v>188</c:v>
                </c:pt>
                <c:pt idx="6">
                  <c:v>222</c:v>
                </c:pt>
                <c:pt idx="7">
                  <c:v>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4-1749-895E-100EC5BB3148}"/>
            </c:ext>
          </c:extLst>
        </c:ser>
        <c:ser>
          <c:idx val="1"/>
          <c:order val="1"/>
          <c:tx>
            <c:v>x</c:v>
          </c:tx>
          <c:spPr>
            <a:ln>
              <a:tailEnd type="triangle"/>
            </a:ln>
          </c:spPr>
          <c:marker>
            <c:symbol val="none"/>
          </c:marker>
          <c:xVal>
            <c:numRef>
              <c:f>Main!$AA$57:$AA$58</c:f>
              <c:numCache>
                <c:formatCode>0</c:formatCode>
                <c:ptCount val="2"/>
                <c:pt idx="0">
                  <c:v>184</c:v>
                </c:pt>
                <c:pt idx="1">
                  <c:v>298</c:v>
                </c:pt>
              </c:numCache>
            </c:numRef>
          </c:xVal>
          <c:yVal>
            <c:numRef>
              <c:f>Main!$AB$57:$AB$58</c:f>
              <c:numCache>
                <c:formatCode>0</c:formatCode>
                <c:ptCount val="2"/>
                <c:pt idx="0">
                  <c:v>292</c:v>
                </c:pt>
                <c:pt idx="1">
                  <c:v>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84-1749-895E-100EC5BB3148}"/>
            </c:ext>
          </c:extLst>
        </c:ser>
        <c:ser>
          <c:idx val="2"/>
          <c:order val="2"/>
          <c:tx>
            <c:v>y</c:v>
          </c:tx>
          <c:spPr>
            <a:ln>
              <a:tailEnd type="triangle"/>
            </a:ln>
          </c:spPr>
          <c:marker>
            <c:symbol val="none"/>
          </c:marker>
          <c:xVal>
            <c:numRef>
              <c:f>Main!$AA$60:$AA$61</c:f>
              <c:numCache>
                <c:formatCode>0</c:formatCode>
                <c:ptCount val="2"/>
                <c:pt idx="0">
                  <c:v>184</c:v>
                </c:pt>
                <c:pt idx="1">
                  <c:v>79</c:v>
                </c:pt>
              </c:numCache>
            </c:numRef>
          </c:xVal>
          <c:yVal>
            <c:numRef>
              <c:f>Main!$AB$60:$AB$61</c:f>
              <c:numCache>
                <c:formatCode>0</c:formatCode>
                <c:ptCount val="2"/>
                <c:pt idx="0">
                  <c:v>292</c:v>
                </c:pt>
                <c:pt idx="1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84-1749-895E-100EC5BB3148}"/>
            </c:ext>
          </c:extLst>
        </c:ser>
        <c:ser>
          <c:idx val="3"/>
          <c:order val="3"/>
          <c:tx>
            <c:v>z</c:v>
          </c:tx>
          <c:spPr>
            <a:ln>
              <a:solidFill>
                <a:srgbClr val="0000FF"/>
              </a:solidFill>
              <a:tailEnd type="triangle"/>
            </a:ln>
          </c:spPr>
          <c:marker>
            <c:symbol val="none"/>
          </c:marker>
          <c:xVal>
            <c:numRef>
              <c:f>Main!$AA$63:$AA$64</c:f>
              <c:numCache>
                <c:formatCode>0</c:formatCode>
                <c:ptCount val="2"/>
                <c:pt idx="0">
                  <c:v>184</c:v>
                </c:pt>
                <c:pt idx="1">
                  <c:v>206</c:v>
                </c:pt>
              </c:numCache>
            </c:numRef>
          </c:xVal>
          <c:yVal>
            <c:numRef>
              <c:f>Main!$AB$63:$AB$64</c:f>
              <c:numCache>
                <c:formatCode>0</c:formatCode>
                <c:ptCount val="2"/>
                <c:pt idx="0">
                  <c:v>292</c:v>
                </c:pt>
                <c:pt idx="1">
                  <c:v>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84-1749-895E-100EC5BB3148}"/>
            </c:ext>
          </c:extLst>
        </c:ser>
        <c:ser>
          <c:idx val="4"/>
          <c:order val="4"/>
          <c:tx>
            <c:v>cx</c:v>
          </c:tx>
          <c:spPr>
            <a:ln w="9525" cmpd="sng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Main!$AO$57:$AO$58</c:f>
              <c:numCache>
                <c:formatCode>0</c:formatCode>
                <c:ptCount val="2"/>
                <c:pt idx="0">
                  <c:v>428</c:v>
                </c:pt>
                <c:pt idx="1">
                  <c:v>265</c:v>
                </c:pt>
              </c:numCache>
            </c:numRef>
          </c:xVal>
          <c:yVal>
            <c:numRef>
              <c:f>Main!$AP$57:$AP$58</c:f>
              <c:numCache>
                <c:formatCode>0</c:formatCode>
                <c:ptCount val="2"/>
                <c:pt idx="0">
                  <c:v>221</c:v>
                </c:pt>
                <c:pt idx="1">
                  <c:v>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84-1749-895E-100EC5BB3148}"/>
            </c:ext>
          </c:extLst>
        </c:ser>
        <c:ser>
          <c:idx val="5"/>
          <c:order val="5"/>
          <c:tx>
            <c:v>cy</c:v>
          </c:tx>
          <c:spPr>
            <a:ln w="9525" cmpd="sng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Main!$AO$60:$AO$61</c:f>
              <c:numCache>
                <c:formatCode>0</c:formatCode>
                <c:ptCount val="2"/>
                <c:pt idx="0">
                  <c:v>428</c:v>
                </c:pt>
                <c:pt idx="1">
                  <c:v>405</c:v>
                </c:pt>
              </c:numCache>
            </c:numRef>
          </c:xVal>
          <c:yVal>
            <c:numRef>
              <c:f>Main!$AP$60:$AP$61</c:f>
              <c:numCache>
                <c:formatCode>0</c:formatCode>
                <c:ptCount val="2"/>
                <c:pt idx="0">
                  <c:v>221</c:v>
                </c:pt>
                <c:pt idx="1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84-1749-895E-100EC5BB3148}"/>
            </c:ext>
          </c:extLst>
        </c:ser>
        <c:ser>
          <c:idx val="6"/>
          <c:order val="6"/>
          <c:tx>
            <c:v>cz</c:v>
          </c:tx>
          <c:spPr>
            <a:ln w="9525" cmpd="sng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Main!$AO$63:$AO$64</c:f>
              <c:numCache>
                <c:formatCode>0</c:formatCode>
                <c:ptCount val="2"/>
                <c:pt idx="0">
                  <c:v>428</c:v>
                </c:pt>
                <c:pt idx="1">
                  <c:v>483</c:v>
                </c:pt>
              </c:numCache>
            </c:numRef>
          </c:xVal>
          <c:yVal>
            <c:numRef>
              <c:f>Main!$AP$63:$AP$64</c:f>
              <c:numCache>
                <c:formatCode>0</c:formatCode>
                <c:ptCount val="2"/>
                <c:pt idx="0">
                  <c:v>221</c:v>
                </c:pt>
                <c:pt idx="1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84-1749-895E-100EC5BB3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6181360"/>
        <c:axId val="-1496179584"/>
      </c:scatterChart>
      <c:valAx>
        <c:axId val="-1496181360"/>
        <c:scaling>
          <c:orientation val="minMax"/>
          <c:max val="960"/>
          <c:min val="0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-1496179584"/>
        <c:crosses val="autoZero"/>
        <c:crossBetween val="midCat"/>
        <c:majorUnit val="80"/>
      </c:valAx>
      <c:valAx>
        <c:axId val="-1496179584"/>
        <c:scaling>
          <c:orientation val="maxMin"/>
          <c:max val="5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496181360"/>
        <c:crosses val="autoZero"/>
        <c:crossBetween val="midCat"/>
        <c:majorUnit val="80"/>
      </c:valAx>
      <c:spPr>
        <a:solidFill>
          <a:schemeClr val="dk1"/>
        </a:solidFill>
        <a:ln w="25400" cap="flat" cmpd="sng" algn="ctr">
          <a:solidFill>
            <a:schemeClr val="dk1">
              <a:shade val="50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dk1"/>
    </a:solidFill>
    <a:ln w="25400" cap="flat" cmpd="sng" algn="ctr">
      <a:solidFill>
        <a:schemeClr val="dk1">
          <a:shade val="50000"/>
        </a:schemeClr>
      </a:solidFill>
      <a:prstDash val="solid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x</c:v>
          </c:tx>
          <c:spPr>
            <a:ln>
              <a:tailEnd type="triangle"/>
            </a:ln>
          </c:spPr>
          <c:marker>
            <c:symbol val="none"/>
          </c:marker>
          <c:xVal>
            <c:numRef>
              <c:f>Anim!$O$87:$O$88</c:f>
              <c:numCache>
                <c:formatCode>0</c:formatCode>
                <c:ptCount val="2"/>
                <c:pt idx="0">
                  <c:v>184</c:v>
                </c:pt>
                <c:pt idx="1">
                  <c:v>298</c:v>
                </c:pt>
              </c:numCache>
            </c:numRef>
          </c:xVal>
          <c:yVal>
            <c:numRef>
              <c:f>Anim!$P$87:$P$88</c:f>
              <c:numCache>
                <c:formatCode>0</c:formatCode>
                <c:ptCount val="2"/>
                <c:pt idx="0">
                  <c:v>292</c:v>
                </c:pt>
                <c:pt idx="1">
                  <c:v>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7-DA49-B2DA-37679147E79F}"/>
            </c:ext>
          </c:extLst>
        </c:ser>
        <c:ser>
          <c:idx val="2"/>
          <c:order val="1"/>
          <c:tx>
            <c:v>y</c:v>
          </c:tx>
          <c:spPr>
            <a:ln>
              <a:tailEnd type="triangle"/>
            </a:ln>
          </c:spPr>
          <c:marker>
            <c:symbol val="none"/>
          </c:marker>
          <c:xVal>
            <c:numRef>
              <c:f>Anim!$O$90:$O$91</c:f>
              <c:numCache>
                <c:formatCode>0</c:formatCode>
                <c:ptCount val="2"/>
                <c:pt idx="0">
                  <c:v>184</c:v>
                </c:pt>
                <c:pt idx="1">
                  <c:v>79</c:v>
                </c:pt>
              </c:numCache>
            </c:numRef>
          </c:xVal>
          <c:yVal>
            <c:numRef>
              <c:f>Anim!$P$90:$P$91</c:f>
              <c:numCache>
                <c:formatCode>0</c:formatCode>
                <c:ptCount val="2"/>
                <c:pt idx="0">
                  <c:v>292</c:v>
                </c:pt>
                <c:pt idx="1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B7-DA49-B2DA-37679147E79F}"/>
            </c:ext>
          </c:extLst>
        </c:ser>
        <c:ser>
          <c:idx val="3"/>
          <c:order val="2"/>
          <c:tx>
            <c:v>z</c:v>
          </c:tx>
          <c:spPr>
            <a:ln>
              <a:solidFill>
                <a:srgbClr val="0000FF"/>
              </a:solidFill>
              <a:tailEnd type="triangle"/>
            </a:ln>
          </c:spPr>
          <c:marker>
            <c:symbol val="none"/>
          </c:marker>
          <c:xVal>
            <c:numRef>
              <c:f>Anim!$O$93:$O$94</c:f>
              <c:numCache>
                <c:formatCode>0</c:formatCode>
                <c:ptCount val="2"/>
                <c:pt idx="0">
                  <c:v>184</c:v>
                </c:pt>
                <c:pt idx="1">
                  <c:v>206</c:v>
                </c:pt>
              </c:numCache>
            </c:numRef>
          </c:xVal>
          <c:yVal>
            <c:numRef>
              <c:f>Anim!$P$93:$P$94</c:f>
              <c:numCache>
                <c:formatCode>0</c:formatCode>
                <c:ptCount val="2"/>
                <c:pt idx="0">
                  <c:v>292</c:v>
                </c:pt>
                <c:pt idx="1">
                  <c:v>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B7-DA49-B2DA-37679147E79F}"/>
            </c:ext>
          </c:extLst>
        </c:ser>
        <c:ser>
          <c:idx val="4"/>
          <c:order val="3"/>
          <c:tx>
            <c:v>cx</c:v>
          </c:tx>
          <c:spPr>
            <a:ln w="9525" cmpd="sng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Anim!$AC$87:$AC$88</c:f>
              <c:numCache>
                <c:formatCode>0</c:formatCode>
                <c:ptCount val="2"/>
                <c:pt idx="0">
                  <c:v>428</c:v>
                </c:pt>
                <c:pt idx="1">
                  <c:v>265</c:v>
                </c:pt>
              </c:numCache>
            </c:numRef>
          </c:xVal>
          <c:yVal>
            <c:numRef>
              <c:f>Anim!$AD$87:$AD$88</c:f>
              <c:numCache>
                <c:formatCode>0</c:formatCode>
                <c:ptCount val="2"/>
                <c:pt idx="0">
                  <c:v>221</c:v>
                </c:pt>
                <c:pt idx="1">
                  <c:v>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B7-DA49-B2DA-37679147E79F}"/>
            </c:ext>
          </c:extLst>
        </c:ser>
        <c:ser>
          <c:idx val="5"/>
          <c:order val="4"/>
          <c:tx>
            <c:v>cy</c:v>
          </c:tx>
          <c:spPr>
            <a:ln w="9525" cmpd="sng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Anim!$AC$90:$AC$91</c:f>
              <c:numCache>
                <c:formatCode>0</c:formatCode>
                <c:ptCount val="2"/>
                <c:pt idx="0">
                  <c:v>428</c:v>
                </c:pt>
                <c:pt idx="1">
                  <c:v>405</c:v>
                </c:pt>
              </c:numCache>
            </c:numRef>
          </c:xVal>
          <c:yVal>
            <c:numRef>
              <c:f>Anim!$AD$90:$AD$91</c:f>
              <c:numCache>
                <c:formatCode>0</c:formatCode>
                <c:ptCount val="2"/>
                <c:pt idx="0">
                  <c:v>221</c:v>
                </c:pt>
                <c:pt idx="1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B7-DA49-B2DA-37679147E79F}"/>
            </c:ext>
          </c:extLst>
        </c:ser>
        <c:ser>
          <c:idx val="6"/>
          <c:order val="5"/>
          <c:tx>
            <c:v>cz</c:v>
          </c:tx>
          <c:spPr>
            <a:ln w="9525" cmpd="sng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Anim!$AC$93:$AC$94</c:f>
              <c:numCache>
                <c:formatCode>0</c:formatCode>
                <c:ptCount val="2"/>
                <c:pt idx="0">
                  <c:v>428</c:v>
                </c:pt>
                <c:pt idx="1">
                  <c:v>483</c:v>
                </c:pt>
              </c:numCache>
            </c:numRef>
          </c:xVal>
          <c:yVal>
            <c:numRef>
              <c:f>Anim!$AD$93:$AD$94</c:f>
              <c:numCache>
                <c:formatCode>0</c:formatCode>
                <c:ptCount val="2"/>
                <c:pt idx="0">
                  <c:v>221</c:v>
                </c:pt>
                <c:pt idx="1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B7-DA49-B2DA-37679147E79F}"/>
            </c:ext>
          </c:extLst>
        </c:ser>
        <c:ser>
          <c:idx val="0"/>
          <c:order val="6"/>
          <c:spPr>
            <a:ln w="9525" cmpd="sng"/>
          </c:spPr>
          <c:marker>
            <c:symbol val="none"/>
          </c:marker>
          <c:xVal>
            <c:numRef>
              <c:f>Anim!$B$66:$B$176</c:f>
              <c:numCache>
                <c:formatCode>General</c:formatCode>
                <c:ptCount val="111"/>
                <c:pt idx="0">
                  <c:v>498</c:v>
                </c:pt>
                <c:pt idx="1">
                  <c:v>368</c:v>
                </c:pt>
                <c:pt idx="3">
                  <c:v>368</c:v>
                </c:pt>
                <c:pt idx="4">
                  <c:v>282</c:v>
                </c:pt>
                <c:pt idx="6">
                  <c:v>282</c:v>
                </c:pt>
                <c:pt idx="7">
                  <c:v>453</c:v>
                </c:pt>
                <c:pt idx="9">
                  <c:v>453</c:v>
                </c:pt>
                <c:pt idx="10">
                  <c:v>498</c:v>
                </c:pt>
                <c:pt idx="12">
                  <c:v>527</c:v>
                </c:pt>
                <c:pt idx="13">
                  <c:v>415</c:v>
                </c:pt>
                <c:pt idx="15">
                  <c:v>415</c:v>
                </c:pt>
                <c:pt idx="16">
                  <c:v>361</c:v>
                </c:pt>
                <c:pt idx="18">
                  <c:v>361</c:v>
                </c:pt>
                <c:pt idx="19">
                  <c:v>503</c:v>
                </c:pt>
                <c:pt idx="21">
                  <c:v>503</c:v>
                </c:pt>
                <c:pt idx="22">
                  <c:v>527</c:v>
                </c:pt>
                <c:pt idx="24">
                  <c:v>498</c:v>
                </c:pt>
                <c:pt idx="25">
                  <c:v>527</c:v>
                </c:pt>
                <c:pt idx="27">
                  <c:v>368</c:v>
                </c:pt>
                <c:pt idx="28">
                  <c:v>415</c:v>
                </c:pt>
                <c:pt idx="30">
                  <c:v>282</c:v>
                </c:pt>
                <c:pt idx="31">
                  <c:v>361</c:v>
                </c:pt>
                <c:pt idx="33">
                  <c:v>453</c:v>
                </c:pt>
                <c:pt idx="34">
                  <c:v>503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xVal>
          <c:yVal>
            <c:numRef>
              <c:f>Anim!$C$66:$C$176</c:f>
              <c:numCache>
                <c:formatCode>General</c:formatCode>
                <c:ptCount val="111"/>
                <c:pt idx="0">
                  <c:v>300</c:v>
                </c:pt>
                <c:pt idx="1">
                  <c:v>289</c:v>
                </c:pt>
                <c:pt idx="3">
                  <c:v>289</c:v>
                </c:pt>
                <c:pt idx="4">
                  <c:v>220</c:v>
                </c:pt>
                <c:pt idx="6">
                  <c:v>220</c:v>
                </c:pt>
                <c:pt idx="7">
                  <c:v>222</c:v>
                </c:pt>
                <c:pt idx="9">
                  <c:v>222</c:v>
                </c:pt>
                <c:pt idx="10">
                  <c:v>300</c:v>
                </c:pt>
                <c:pt idx="12">
                  <c:v>222</c:v>
                </c:pt>
                <c:pt idx="13">
                  <c:v>221</c:v>
                </c:pt>
                <c:pt idx="15">
                  <c:v>221</c:v>
                </c:pt>
                <c:pt idx="16">
                  <c:v>145</c:v>
                </c:pt>
                <c:pt idx="18">
                  <c:v>145</c:v>
                </c:pt>
                <c:pt idx="19">
                  <c:v>135</c:v>
                </c:pt>
                <c:pt idx="21">
                  <c:v>135</c:v>
                </c:pt>
                <c:pt idx="22">
                  <c:v>222</c:v>
                </c:pt>
                <c:pt idx="24">
                  <c:v>300</c:v>
                </c:pt>
                <c:pt idx="25">
                  <c:v>222</c:v>
                </c:pt>
                <c:pt idx="27">
                  <c:v>289</c:v>
                </c:pt>
                <c:pt idx="28">
                  <c:v>221</c:v>
                </c:pt>
                <c:pt idx="30">
                  <c:v>220</c:v>
                </c:pt>
                <c:pt idx="31">
                  <c:v>145</c:v>
                </c:pt>
                <c:pt idx="33">
                  <c:v>222</c:v>
                </c:pt>
                <c:pt idx="34">
                  <c:v>135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B7-DA49-B2DA-37679147E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7207536"/>
        <c:axId val="-1497205760"/>
      </c:scatterChart>
      <c:valAx>
        <c:axId val="-1497207536"/>
        <c:scaling>
          <c:orientation val="minMax"/>
          <c:max val="960"/>
          <c:min val="0"/>
        </c:scaling>
        <c:delete val="0"/>
        <c:axPos val="t"/>
        <c:majorGridlines/>
        <c:numFmt formatCode="0" sourceLinked="1"/>
        <c:majorTickMark val="out"/>
        <c:minorTickMark val="none"/>
        <c:tickLblPos val="nextTo"/>
        <c:crossAx val="-1497205760"/>
        <c:crosses val="autoZero"/>
        <c:crossBetween val="midCat"/>
        <c:majorUnit val="80"/>
      </c:valAx>
      <c:valAx>
        <c:axId val="-1497205760"/>
        <c:scaling>
          <c:orientation val="maxMin"/>
          <c:max val="54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-1497207536"/>
        <c:crosses val="autoZero"/>
        <c:crossBetween val="midCat"/>
        <c:majorUnit val="80"/>
      </c:valAx>
      <c:spPr>
        <a:solidFill>
          <a:schemeClr val="dk1"/>
        </a:solidFill>
        <a:ln w="25400" cap="flat" cmpd="sng" algn="ctr">
          <a:solidFill>
            <a:schemeClr val="dk1">
              <a:shade val="50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dk1"/>
    </a:solidFill>
    <a:ln w="25400" cap="flat" cmpd="sng" algn="ctr">
      <a:solidFill>
        <a:schemeClr val="dk1">
          <a:shade val="50000"/>
        </a:schemeClr>
      </a:solidFill>
      <a:prstDash val="solid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0</xdr:row>
      <xdr:rowOff>19050</xdr:rowOff>
    </xdr:from>
    <xdr:to>
      <xdr:col>21</xdr:col>
      <xdr:colOff>177800</xdr:colOff>
      <xdr:row>17</xdr:row>
      <xdr:rowOff>38100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25400</xdr:rowOff>
        </xdr:from>
        <xdr:to>
          <xdr:col>24</xdr:col>
          <xdr:colOff>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38100</xdr:rowOff>
        </xdr:from>
        <xdr:to>
          <xdr:col>24</xdr:col>
          <xdr:colOff>12700</xdr:colOff>
          <xdr:row>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25400</xdr:rowOff>
        </xdr:from>
        <xdr:to>
          <xdr:col>22</xdr:col>
          <xdr:colOff>406400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3</xdr:row>
          <xdr:rowOff>0</xdr:rowOff>
        </xdr:from>
        <xdr:to>
          <xdr:col>25</xdr:col>
          <xdr:colOff>0</xdr:colOff>
          <xdr:row>4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6</xdr:row>
          <xdr:rowOff>12700</xdr:rowOff>
        </xdr:from>
        <xdr:to>
          <xdr:col>22</xdr:col>
          <xdr:colOff>406400</xdr:colOff>
          <xdr:row>7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6</xdr:row>
          <xdr:rowOff>38100</xdr:rowOff>
        </xdr:from>
        <xdr:to>
          <xdr:col>24</xdr:col>
          <xdr:colOff>419100</xdr:colOff>
          <xdr:row>7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9</xdr:row>
          <xdr:rowOff>12700</xdr:rowOff>
        </xdr:from>
        <xdr:to>
          <xdr:col>22</xdr:col>
          <xdr:colOff>406400</xdr:colOff>
          <xdr:row>10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11</xdr:row>
          <xdr:rowOff>25400</xdr:rowOff>
        </xdr:from>
        <xdr:to>
          <xdr:col>22</xdr:col>
          <xdr:colOff>406400</xdr:colOff>
          <xdr:row>12</xdr:row>
          <xdr:rowOff>165100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9</xdr:row>
          <xdr:rowOff>38100</xdr:rowOff>
        </xdr:from>
        <xdr:to>
          <xdr:col>23</xdr:col>
          <xdr:colOff>393700</xdr:colOff>
          <xdr:row>10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9</xdr:row>
          <xdr:rowOff>38100</xdr:rowOff>
        </xdr:from>
        <xdr:to>
          <xdr:col>24</xdr:col>
          <xdr:colOff>419100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11</xdr:row>
          <xdr:rowOff>25400</xdr:rowOff>
        </xdr:from>
        <xdr:to>
          <xdr:col>23</xdr:col>
          <xdr:colOff>419100</xdr:colOff>
          <xdr:row>12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11</xdr:row>
          <xdr:rowOff>0</xdr:rowOff>
        </xdr:from>
        <xdr:to>
          <xdr:col>24</xdr:col>
          <xdr:colOff>381000</xdr:colOff>
          <xdr:row>12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13</xdr:row>
          <xdr:rowOff>63500</xdr:rowOff>
        </xdr:from>
        <xdr:to>
          <xdr:col>23</xdr:col>
          <xdr:colOff>254000</xdr:colOff>
          <xdr:row>14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Fov-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292100</xdr:colOff>
          <xdr:row>13</xdr:row>
          <xdr:rowOff>38100</xdr:rowOff>
        </xdr:from>
        <xdr:to>
          <xdr:col>24</xdr:col>
          <xdr:colOff>393700</xdr:colOff>
          <xdr:row>14</xdr:row>
          <xdr:rowOff>127000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Fov+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15</xdr:row>
          <xdr:rowOff>12700</xdr:rowOff>
        </xdr:from>
        <xdr:to>
          <xdr:col>24</xdr:col>
          <xdr:colOff>419100</xdr:colOff>
          <xdr:row>17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</xdr:row>
          <xdr:rowOff>25400</xdr:rowOff>
        </xdr:from>
        <xdr:to>
          <xdr:col>28</xdr:col>
          <xdr:colOff>0</xdr:colOff>
          <xdr:row>4</xdr:row>
          <xdr:rowOff>12700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4</xdr:row>
          <xdr:rowOff>38100</xdr:rowOff>
        </xdr:from>
        <xdr:to>
          <xdr:col>28</xdr:col>
          <xdr:colOff>12700</xdr:colOff>
          <xdr:row>6</xdr:row>
          <xdr:rowOff>12700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25400</xdr:rowOff>
        </xdr:from>
        <xdr:to>
          <xdr:col>26</xdr:col>
          <xdr:colOff>406400</xdr:colOff>
          <xdr:row>4</xdr:row>
          <xdr:rowOff>165100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3</xdr:row>
          <xdr:rowOff>0</xdr:rowOff>
        </xdr:from>
        <xdr:to>
          <xdr:col>29</xdr:col>
          <xdr:colOff>0</xdr:colOff>
          <xdr:row>4</xdr:row>
          <xdr:rowOff>177800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6</xdr:row>
          <xdr:rowOff>12700</xdr:rowOff>
        </xdr:from>
        <xdr:to>
          <xdr:col>26</xdr:col>
          <xdr:colOff>406400</xdr:colOff>
          <xdr:row>7</xdr:row>
          <xdr:rowOff>165100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6</xdr:row>
          <xdr:rowOff>38100</xdr:rowOff>
        </xdr:from>
        <xdr:to>
          <xdr:col>28</xdr:col>
          <xdr:colOff>419100</xdr:colOff>
          <xdr:row>7</xdr:row>
          <xdr:rowOff>165100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9</xdr:row>
          <xdr:rowOff>12700</xdr:rowOff>
        </xdr:from>
        <xdr:to>
          <xdr:col>26</xdr:col>
          <xdr:colOff>406400</xdr:colOff>
          <xdr:row>10</xdr:row>
          <xdr:rowOff>165100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11</xdr:row>
          <xdr:rowOff>25400</xdr:rowOff>
        </xdr:from>
        <xdr:to>
          <xdr:col>26</xdr:col>
          <xdr:colOff>406400</xdr:colOff>
          <xdr:row>12</xdr:row>
          <xdr:rowOff>165100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</xdr:colOff>
          <xdr:row>9</xdr:row>
          <xdr:rowOff>38100</xdr:rowOff>
        </xdr:from>
        <xdr:to>
          <xdr:col>27</xdr:col>
          <xdr:colOff>393700</xdr:colOff>
          <xdr:row>10</xdr:row>
          <xdr:rowOff>139700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9</xdr:row>
          <xdr:rowOff>38100</xdr:rowOff>
        </xdr:from>
        <xdr:to>
          <xdr:col>28</xdr:col>
          <xdr:colOff>419100</xdr:colOff>
          <xdr:row>10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419100</xdr:colOff>
          <xdr:row>11</xdr:row>
          <xdr:rowOff>25400</xdr:rowOff>
        </xdr:from>
        <xdr:to>
          <xdr:col>27</xdr:col>
          <xdr:colOff>419100</xdr:colOff>
          <xdr:row>12</xdr:row>
          <xdr:rowOff>165100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11</xdr:row>
          <xdr:rowOff>0</xdr:rowOff>
        </xdr:from>
        <xdr:to>
          <xdr:col>28</xdr:col>
          <xdr:colOff>381000</xdr:colOff>
          <xdr:row>12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13</xdr:row>
          <xdr:rowOff>25400</xdr:rowOff>
        </xdr:from>
        <xdr:to>
          <xdr:col>26</xdr:col>
          <xdr:colOff>393700</xdr:colOff>
          <xdr:row>14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Sx+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13</xdr:row>
          <xdr:rowOff>12700</xdr:rowOff>
        </xdr:from>
        <xdr:to>
          <xdr:col>28</xdr:col>
          <xdr:colOff>0</xdr:colOff>
          <xdr:row>15</xdr:row>
          <xdr:rowOff>25400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25400</xdr:colOff>
          <xdr:row>13</xdr:row>
          <xdr:rowOff>12700</xdr:rowOff>
        </xdr:from>
        <xdr:to>
          <xdr:col>28</xdr:col>
          <xdr:colOff>406400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Sz+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15</xdr:row>
          <xdr:rowOff>25400</xdr:rowOff>
        </xdr:from>
        <xdr:to>
          <xdr:col>26</xdr:col>
          <xdr:colOff>393700</xdr:colOff>
          <xdr:row>16</xdr:row>
          <xdr:rowOff>177800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Sx-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15</xdr:row>
          <xdr:rowOff>12700</xdr:rowOff>
        </xdr:from>
        <xdr:to>
          <xdr:col>27</xdr:col>
          <xdr:colOff>419100</xdr:colOff>
          <xdr:row>17</xdr:row>
          <xdr:rowOff>25400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25400</xdr:colOff>
          <xdr:row>15</xdr:row>
          <xdr:rowOff>12700</xdr:rowOff>
        </xdr:from>
        <xdr:to>
          <xdr:col>28</xdr:col>
          <xdr:colOff>406400</xdr:colOff>
          <xdr:row>17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Sz-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0</xdr:row>
      <xdr:rowOff>19050</xdr:rowOff>
    </xdr:from>
    <xdr:to>
      <xdr:col>21</xdr:col>
      <xdr:colOff>177800</xdr:colOff>
      <xdr:row>17</xdr:row>
      <xdr:rowOff>38100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25400</xdr:rowOff>
        </xdr:from>
        <xdr:to>
          <xdr:col>24</xdr:col>
          <xdr:colOff>0</xdr:colOff>
          <xdr:row>4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38100</xdr:rowOff>
        </xdr:from>
        <xdr:to>
          <xdr:col>24</xdr:col>
          <xdr:colOff>12700</xdr:colOff>
          <xdr:row>6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25400</xdr:rowOff>
        </xdr:from>
        <xdr:to>
          <xdr:col>22</xdr:col>
          <xdr:colOff>406400</xdr:colOff>
          <xdr:row>4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3</xdr:row>
          <xdr:rowOff>0</xdr:rowOff>
        </xdr:from>
        <xdr:to>
          <xdr:col>25</xdr:col>
          <xdr:colOff>0</xdr:colOff>
          <xdr:row>4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6</xdr:row>
          <xdr:rowOff>12700</xdr:rowOff>
        </xdr:from>
        <xdr:to>
          <xdr:col>22</xdr:col>
          <xdr:colOff>406400</xdr:colOff>
          <xdr:row>7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6</xdr:row>
          <xdr:rowOff>38100</xdr:rowOff>
        </xdr:from>
        <xdr:to>
          <xdr:col>24</xdr:col>
          <xdr:colOff>419100</xdr:colOff>
          <xdr:row>7</xdr:row>
          <xdr:rowOff>165100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9</xdr:row>
          <xdr:rowOff>12700</xdr:rowOff>
        </xdr:from>
        <xdr:to>
          <xdr:col>22</xdr:col>
          <xdr:colOff>406400</xdr:colOff>
          <xdr:row>10</xdr:row>
          <xdr:rowOff>165100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11</xdr:row>
          <xdr:rowOff>25400</xdr:rowOff>
        </xdr:from>
        <xdr:to>
          <xdr:col>22</xdr:col>
          <xdr:colOff>406400</xdr:colOff>
          <xdr:row>12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9</xdr:row>
          <xdr:rowOff>38100</xdr:rowOff>
        </xdr:from>
        <xdr:to>
          <xdr:col>23</xdr:col>
          <xdr:colOff>393700</xdr:colOff>
          <xdr:row>10</xdr:row>
          <xdr:rowOff>139700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9</xdr:row>
          <xdr:rowOff>38100</xdr:rowOff>
        </xdr:from>
        <xdr:to>
          <xdr:col>24</xdr:col>
          <xdr:colOff>419100</xdr:colOff>
          <xdr:row>10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11</xdr:row>
          <xdr:rowOff>25400</xdr:rowOff>
        </xdr:from>
        <xdr:to>
          <xdr:col>23</xdr:col>
          <xdr:colOff>419100</xdr:colOff>
          <xdr:row>12</xdr:row>
          <xdr:rowOff>165100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11</xdr:row>
          <xdr:rowOff>0</xdr:rowOff>
        </xdr:from>
        <xdr:to>
          <xdr:col>24</xdr:col>
          <xdr:colOff>381000</xdr:colOff>
          <xdr:row>12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13</xdr:row>
          <xdr:rowOff>63500</xdr:rowOff>
        </xdr:from>
        <xdr:to>
          <xdr:col>23</xdr:col>
          <xdr:colOff>254000</xdr:colOff>
          <xdr:row>14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Fov-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292100</xdr:colOff>
          <xdr:row>13</xdr:row>
          <xdr:rowOff>38100</xdr:rowOff>
        </xdr:from>
        <xdr:to>
          <xdr:col>24</xdr:col>
          <xdr:colOff>393700</xdr:colOff>
          <xdr:row>14</xdr:row>
          <xdr:rowOff>127000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Fov+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15</xdr:row>
          <xdr:rowOff>12700</xdr:rowOff>
        </xdr:from>
        <xdr:to>
          <xdr:col>24</xdr:col>
          <xdr:colOff>419100</xdr:colOff>
          <xdr:row>17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</xdr:row>
          <xdr:rowOff>25400</xdr:rowOff>
        </xdr:from>
        <xdr:to>
          <xdr:col>28</xdr:col>
          <xdr:colOff>0</xdr:colOff>
          <xdr:row>4</xdr:row>
          <xdr:rowOff>12700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4</xdr:row>
          <xdr:rowOff>38100</xdr:rowOff>
        </xdr:from>
        <xdr:to>
          <xdr:col>28</xdr:col>
          <xdr:colOff>12700</xdr:colOff>
          <xdr:row>6</xdr:row>
          <xdr:rowOff>12700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25400</xdr:rowOff>
        </xdr:from>
        <xdr:to>
          <xdr:col>26</xdr:col>
          <xdr:colOff>406400</xdr:colOff>
          <xdr:row>4</xdr:row>
          <xdr:rowOff>165100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3</xdr:row>
          <xdr:rowOff>0</xdr:rowOff>
        </xdr:from>
        <xdr:to>
          <xdr:col>29</xdr:col>
          <xdr:colOff>0</xdr:colOff>
          <xdr:row>4</xdr:row>
          <xdr:rowOff>177800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6</xdr:row>
          <xdr:rowOff>12700</xdr:rowOff>
        </xdr:from>
        <xdr:to>
          <xdr:col>26</xdr:col>
          <xdr:colOff>406400</xdr:colOff>
          <xdr:row>7</xdr:row>
          <xdr:rowOff>165100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+z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6</xdr:row>
          <xdr:rowOff>38100</xdr:rowOff>
        </xdr:from>
        <xdr:to>
          <xdr:col>28</xdr:col>
          <xdr:colOff>419100</xdr:colOff>
          <xdr:row>7</xdr:row>
          <xdr:rowOff>165100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9</xdr:row>
          <xdr:rowOff>12700</xdr:rowOff>
        </xdr:from>
        <xdr:to>
          <xdr:col>26</xdr:col>
          <xdr:colOff>406400</xdr:colOff>
          <xdr:row>10</xdr:row>
          <xdr:rowOff>165100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11</xdr:row>
          <xdr:rowOff>25400</xdr:rowOff>
        </xdr:from>
        <xdr:to>
          <xdr:col>26</xdr:col>
          <xdr:colOff>406400</xdr:colOff>
          <xdr:row>12</xdr:row>
          <xdr:rowOff>165100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</xdr:colOff>
          <xdr:row>9</xdr:row>
          <xdr:rowOff>38100</xdr:rowOff>
        </xdr:from>
        <xdr:to>
          <xdr:col>27</xdr:col>
          <xdr:colOff>393700</xdr:colOff>
          <xdr:row>10</xdr:row>
          <xdr:rowOff>139700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9</xdr:row>
          <xdr:rowOff>38100</xdr:rowOff>
        </xdr:from>
        <xdr:to>
          <xdr:col>28</xdr:col>
          <xdr:colOff>419100</xdr:colOff>
          <xdr:row>10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419100</xdr:colOff>
          <xdr:row>11</xdr:row>
          <xdr:rowOff>25400</xdr:rowOff>
        </xdr:from>
        <xdr:to>
          <xdr:col>27</xdr:col>
          <xdr:colOff>419100</xdr:colOff>
          <xdr:row>12</xdr:row>
          <xdr:rowOff>165100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11</xdr:row>
          <xdr:rowOff>0</xdr:rowOff>
        </xdr:from>
        <xdr:to>
          <xdr:col>28</xdr:col>
          <xdr:colOff>381000</xdr:colOff>
          <xdr:row>12</xdr:row>
          <xdr:rowOff>152400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13</xdr:row>
          <xdr:rowOff>25400</xdr:rowOff>
        </xdr:from>
        <xdr:to>
          <xdr:col>26</xdr:col>
          <xdr:colOff>393700</xdr:colOff>
          <xdr:row>14</xdr:row>
          <xdr:rowOff>177800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Sx+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13</xdr:row>
          <xdr:rowOff>12700</xdr:rowOff>
        </xdr:from>
        <xdr:to>
          <xdr:col>28</xdr:col>
          <xdr:colOff>0</xdr:colOff>
          <xdr:row>15</xdr:row>
          <xdr:rowOff>25400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25400</xdr:colOff>
          <xdr:row>13</xdr:row>
          <xdr:rowOff>12700</xdr:rowOff>
        </xdr:from>
        <xdr:to>
          <xdr:col>28</xdr:col>
          <xdr:colOff>406400</xdr:colOff>
          <xdr:row>15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Sz+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15</xdr:row>
          <xdr:rowOff>25400</xdr:rowOff>
        </xdr:from>
        <xdr:to>
          <xdr:col>26</xdr:col>
          <xdr:colOff>393700</xdr:colOff>
          <xdr:row>16</xdr:row>
          <xdr:rowOff>177800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Sx-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15</xdr:row>
          <xdr:rowOff>12700</xdr:rowOff>
        </xdr:from>
        <xdr:to>
          <xdr:col>27</xdr:col>
          <xdr:colOff>419100</xdr:colOff>
          <xdr:row>17</xdr:row>
          <xdr:rowOff>25400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Sy-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25400</xdr:colOff>
          <xdr:row>15</xdr:row>
          <xdr:rowOff>12700</xdr:rowOff>
        </xdr:from>
        <xdr:to>
          <xdr:col>28</xdr:col>
          <xdr:colOff>406400</xdr:colOff>
          <xdr:row>17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Sz-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25400</xdr:rowOff>
        </xdr:from>
        <xdr:to>
          <xdr:col>25</xdr:col>
          <xdr:colOff>406400</xdr:colOff>
          <xdr:row>1</xdr:row>
          <xdr:rowOff>368300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1</xdr:row>
          <xdr:rowOff>25400</xdr:rowOff>
        </xdr:from>
        <xdr:to>
          <xdr:col>29</xdr:col>
          <xdr:colOff>406400</xdr:colOff>
          <xdr:row>1</xdr:row>
          <xdr:rowOff>368300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12700</xdr:rowOff>
        </xdr:from>
        <xdr:to>
          <xdr:col>24</xdr:col>
          <xdr:colOff>419100</xdr:colOff>
          <xdr:row>0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Start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12700</xdr:rowOff>
        </xdr:from>
        <xdr:to>
          <xdr:col>27</xdr:col>
          <xdr:colOff>419100</xdr:colOff>
          <xdr:row>0</xdr:row>
          <xdr:rowOff>190500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Stop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1:AS68"/>
  <sheetViews>
    <sheetView tabSelected="1" zoomScale="110" zoomScaleNormal="110" zoomScalePageLayoutView="110" workbookViewId="0">
      <selection activeCell="U24" sqref="U24"/>
    </sheetView>
  </sheetViews>
  <sheetFormatPr baseColWidth="10" defaultRowHeight="16"/>
  <cols>
    <col min="1" max="1" width="5.33203125" customWidth="1"/>
    <col min="3" max="5" width="7.6640625" customWidth="1"/>
    <col min="6" max="35" width="5.6640625" customWidth="1"/>
  </cols>
  <sheetData>
    <row r="1" spans="2:27">
      <c r="Z1" s="37">
        <v>0.99434027777777778</v>
      </c>
    </row>
    <row r="2" spans="2:27" ht="32" thickBot="1">
      <c r="C2" s="28" t="s">
        <v>39</v>
      </c>
      <c r="W2" s="32" t="s">
        <v>48</v>
      </c>
      <c r="AA2" s="32" t="s">
        <v>53</v>
      </c>
    </row>
    <row r="3" spans="2:27" ht="17" thickBot="1">
      <c r="B3" s="54" t="s">
        <v>239</v>
      </c>
      <c r="C3" s="55"/>
      <c r="D3" s="55"/>
      <c r="E3" s="56"/>
      <c r="F3" s="57" t="s">
        <v>238</v>
      </c>
      <c r="G3" s="58"/>
      <c r="H3" s="58"/>
      <c r="I3" s="58"/>
      <c r="J3" s="58"/>
    </row>
    <row r="4" spans="2:27">
      <c r="B4" s="39"/>
      <c r="C4" s="40" t="s">
        <v>1</v>
      </c>
      <c r="D4" s="40" t="s">
        <v>2</v>
      </c>
      <c r="E4" s="41"/>
      <c r="F4" s="57"/>
      <c r="G4" s="58"/>
      <c r="H4" s="58"/>
      <c r="I4" s="58"/>
      <c r="J4" s="58"/>
    </row>
    <row r="5" spans="2:27">
      <c r="B5" s="39" t="s">
        <v>0</v>
      </c>
      <c r="C5" s="42">
        <v>960</v>
      </c>
      <c r="D5" s="43">
        <v>540</v>
      </c>
      <c r="E5" s="41"/>
      <c r="F5" s="57"/>
      <c r="G5" s="58"/>
      <c r="H5" s="58"/>
      <c r="I5" s="58"/>
      <c r="J5" s="58"/>
    </row>
    <row r="6" spans="2:27">
      <c r="B6" s="39"/>
      <c r="C6" s="40"/>
      <c r="D6" s="40"/>
      <c r="E6" s="41"/>
      <c r="F6" s="57"/>
      <c r="G6" s="58"/>
      <c r="H6" s="58"/>
      <c r="I6" s="58"/>
      <c r="J6" s="58"/>
    </row>
    <row r="7" spans="2:27">
      <c r="B7" s="39"/>
      <c r="C7" s="40"/>
      <c r="D7" s="40"/>
      <c r="E7" s="41"/>
    </row>
    <row r="8" spans="2:27">
      <c r="B8" s="39"/>
      <c r="C8" s="40"/>
      <c r="D8" s="40"/>
      <c r="E8" s="41"/>
    </row>
    <row r="9" spans="2:27">
      <c r="B9" s="39"/>
      <c r="C9" s="40"/>
      <c r="D9" s="40"/>
      <c r="E9" s="41"/>
      <c r="G9" t="s">
        <v>240</v>
      </c>
    </row>
    <row r="10" spans="2:27">
      <c r="B10" s="44" t="s">
        <v>229</v>
      </c>
      <c r="C10" s="40"/>
      <c r="D10" s="40"/>
      <c r="E10" s="41"/>
      <c r="G10" t="s">
        <v>241</v>
      </c>
    </row>
    <row r="11" spans="2:27">
      <c r="B11" s="39" t="s">
        <v>3</v>
      </c>
      <c r="C11" s="40" t="s">
        <v>4</v>
      </c>
      <c r="D11" s="40" t="s">
        <v>6</v>
      </c>
      <c r="E11" s="41"/>
      <c r="G11" t="s">
        <v>242</v>
      </c>
    </row>
    <row r="12" spans="2:27">
      <c r="B12" s="39"/>
      <c r="C12" s="42">
        <v>90</v>
      </c>
      <c r="D12" s="43">
        <v>1.25</v>
      </c>
      <c r="E12" s="41"/>
      <c r="F12" t="s">
        <v>9</v>
      </c>
      <c r="G12" s="8">
        <f>1/TAN(RADIANS(C12)/2)/D12</f>
        <v>0.8</v>
      </c>
      <c r="H12" s="4">
        <v>0</v>
      </c>
      <c r="I12" s="4">
        <v>0</v>
      </c>
      <c r="J12" s="4">
        <v>0</v>
      </c>
    </row>
    <row r="13" spans="2:27">
      <c r="B13" s="39"/>
      <c r="C13" s="40" t="s">
        <v>7</v>
      </c>
      <c r="D13" s="40" t="s">
        <v>8</v>
      </c>
      <c r="E13" s="41"/>
      <c r="G13" s="4">
        <v>0</v>
      </c>
      <c r="H13" s="9">
        <f>1/TAN(RADIANS(C12)/2)</f>
        <v>1</v>
      </c>
      <c r="I13" s="4">
        <v>0</v>
      </c>
      <c r="J13" s="4">
        <v>0</v>
      </c>
    </row>
    <row r="14" spans="2:27">
      <c r="B14" s="39"/>
      <c r="C14" s="45">
        <v>0.5</v>
      </c>
      <c r="D14" s="46">
        <v>9.5</v>
      </c>
      <c r="E14" s="41"/>
      <c r="G14" s="4">
        <v>0</v>
      </c>
      <c r="H14" s="4">
        <v>0</v>
      </c>
      <c r="I14" s="10">
        <f>(C14+D14)/(C14-D14)</f>
        <v>-1.1111111111111112</v>
      </c>
      <c r="J14" s="11">
        <f>2*C14*D14/(C14-D14)</f>
        <v>-1.0555555555555556</v>
      </c>
    </row>
    <row r="15" spans="2:27">
      <c r="B15" s="39"/>
      <c r="C15" s="40"/>
      <c r="D15" s="40"/>
      <c r="E15" s="41"/>
      <c r="G15" s="4">
        <v>0</v>
      </c>
      <c r="H15" s="4">
        <v>0</v>
      </c>
      <c r="I15" s="4">
        <v>-1</v>
      </c>
      <c r="J15" s="4">
        <v>0</v>
      </c>
    </row>
    <row r="16" spans="2:27">
      <c r="B16" s="39"/>
      <c r="C16" s="40"/>
      <c r="D16" s="40"/>
      <c r="E16" s="41"/>
    </row>
    <row r="17" spans="2:35">
      <c r="B17" s="44" t="s">
        <v>230</v>
      </c>
      <c r="C17" s="40"/>
      <c r="D17" s="40"/>
      <c r="E17" s="41"/>
    </row>
    <row r="18" spans="2:35">
      <c r="B18" s="39" t="s">
        <v>10</v>
      </c>
      <c r="C18" s="40" t="s">
        <v>11</v>
      </c>
      <c r="D18" s="40" t="s">
        <v>12</v>
      </c>
      <c r="E18" s="41" t="s">
        <v>13</v>
      </c>
    </row>
    <row r="19" spans="2:35">
      <c r="B19" s="39"/>
      <c r="C19" s="3">
        <v>1.5</v>
      </c>
      <c r="D19" s="13">
        <v>3</v>
      </c>
      <c r="E19" s="47">
        <v>2.5</v>
      </c>
      <c r="F19" t="s">
        <v>17</v>
      </c>
      <c r="G19" s="20">
        <f t="array" ref="G19:J22">MMULT(L19:O22, MMULT(Q19:T22,MMULT(V19:Y22,AA19:AD22)))</f>
        <v>0.86602540378443871</v>
      </c>
      <c r="H19" s="20">
        <v>0</v>
      </c>
      <c r="I19" s="20">
        <v>0.49999999999999994</v>
      </c>
      <c r="J19" s="21">
        <v>-2.549038105676658</v>
      </c>
      <c r="K19" t="s">
        <v>18</v>
      </c>
      <c r="L19" s="18">
        <f>COS(-RADIANS(E21))</f>
        <v>1</v>
      </c>
      <c r="M19" s="18">
        <f>-SIN(-RADIANS(E21))</f>
        <v>0</v>
      </c>
      <c r="N19" s="19">
        <v>0</v>
      </c>
      <c r="O19" s="19">
        <v>0</v>
      </c>
      <c r="P19" t="s">
        <v>19</v>
      </c>
      <c r="Q19" s="16">
        <v>1</v>
      </c>
      <c r="R19" s="16">
        <v>0</v>
      </c>
      <c r="S19" s="16">
        <v>0</v>
      </c>
      <c r="T19" s="16">
        <v>0</v>
      </c>
      <c r="U19" t="s">
        <v>20</v>
      </c>
      <c r="V19" s="14">
        <f>COS(-RADIANS(C21))</f>
        <v>0.86602540378443871</v>
      </c>
      <c r="W19" s="15">
        <v>0</v>
      </c>
      <c r="X19" s="14">
        <f>SIN(-RADIANS(C21))</f>
        <v>0.49999999999999994</v>
      </c>
      <c r="Y19" s="15">
        <v>0</v>
      </c>
      <c r="Z19" t="s">
        <v>21</v>
      </c>
      <c r="AA19" s="12">
        <v>1</v>
      </c>
      <c r="AB19" s="12">
        <v>0</v>
      </c>
      <c r="AC19" s="12">
        <v>0</v>
      </c>
      <c r="AD19" s="3">
        <f>-C19</f>
        <v>-1.5</v>
      </c>
    </row>
    <row r="20" spans="2:35">
      <c r="B20" s="39"/>
      <c r="C20" s="40" t="s">
        <v>14</v>
      </c>
      <c r="D20" s="40" t="s">
        <v>15</v>
      </c>
      <c r="E20" s="41" t="s">
        <v>16</v>
      </c>
      <c r="G20" s="20">
        <v>0.43301270189221924</v>
      </c>
      <c r="H20" s="20">
        <v>0.50000000000000011</v>
      </c>
      <c r="I20" s="20">
        <v>-0.75</v>
      </c>
      <c r="J20" s="21">
        <v>-0.27451905283832922</v>
      </c>
      <c r="L20" s="18">
        <f>SIN(-RADIANS(E21))</f>
        <v>0</v>
      </c>
      <c r="M20" s="18">
        <f>COS(-RADIANS(E21))</f>
        <v>1</v>
      </c>
      <c r="N20" s="19">
        <v>0</v>
      </c>
      <c r="O20" s="19">
        <v>0</v>
      </c>
      <c r="Q20" s="16">
        <v>0</v>
      </c>
      <c r="R20" s="18">
        <f>COS(-RADIANS(D21))</f>
        <v>0.50000000000000011</v>
      </c>
      <c r="S20" s="18">
        <f>-SIN(-RADIANS(D21))</f>
        <v>-0.8660254037844386</v>
      </c>
      <c r="T20" s="16">
        <v>0</v>
      </c>
      <c r="V20" s="15">
        <v>0</v>
      </c>
      <c r="W20" s="15">
        <v>1</v>
      </c>
      <c r="X20" s="15">
        <v>0</v>
      </c>
      <c r="Y20" s="15">
        <v>0</v>
      </c>
      <c r="AA20" s="12">
        <v>0</v>
      </c>
      <c r="AB20" s="12">
        <v>1</v>
      </c>
      <c r="AC20" s="12">
        <v>0</v>
      </c>
      <c r="AD20" s="13">
        <f>-D19</f>
        <v>-3</v>
      </c>
    </row>
    <row r="21" spans="2:35">
      <c r="B21" s="39"/>
      <c r="C21" s="14">
        <v>-30</v>
      </c>
      <c r="D21" s="17">
        <v>-60</v>
      </c>
      <c r="E21" s="48">
        <v>0</v>
      </c>
      <c r="G21" s="20">
        <v>-0.25</v>
      </c>
      <c r="H21" s="20">
        <v>0.8660254037844386</v>
      </c>
      <c r="I21" s="20">
        <v>0.43301270189221946</v>
      </c>
      <c r="J21" s="21">
        <v>-3.3056079660838646</v>
      </c>
      <c r="L21" s="19">
        <v>0</v>
      </c>
      <c r="M21" s="19">
        <v>0</v>
      </c>
      <c r="N21" s="19">
        <v>1</v>
      </c>
      <c r="O21" s="19">
        <v>0</v>
      </c>
      <c r="Q21" s="16">
        <v>0</v>
      </c>
      <c r="R21" s="18">
        <f>SIN(-RADIANS(D21))</f>
        <v>0.8660254037844386</v>
      </c>
      <c r="S21" s="18">
        <f>COS(-RADIANS(D21))</f>
        <v>0.50000000000000011</v>
      </c>
      <c r="T21" s="16">
        <v>0</v>
      </c>
      <c r="V21" s="14">
        <f>-SIN(-RADIANS(C21))</f>
        <v>-0.49999999999999994</v>
      </c>
      <c r="W21" s="15">
        <v>0</v>
      </c>
      <c r="X21" s="14">
        <f>COS(-RADIANS(C21))</f>
        <v>0.86602540378443871</v>
      </c>
      <c r="Y21" s="15">
        <v>0</v>
      </c>
      <c r="AA21" s="12">
        <v>0</v>
      </c>
      <c r="AB21" s="12">
        <v>0</v>
      </c>
      <c r="AC21" s="12">
        <v>1</v>
      </c>
      <c r="AD21" s="5">
        <f>-E19</f>
        <v>-2.5</v>
      </c>
    </row>
    <row r="22" spans="2:35">
      <c r="B22" s="39"/>
      <c r="C22" s="40" t="s">
        <v>25</v>
      </c>
      <c r="D22" s="40" t="s">
        <v>24</v>
      </c>
      <c r="E22" s="41" t="s">
        <v>23</v>
      </c>
      <c r="G22" s="4">
        <v>0</v>
      </c>
      <c r="H22" s="4">
        <v>0</v>
      </c>
      <c r="I22" s="4">
        <v>0</v>
      </c>
      <c r="J22" s="4">
        <v>1</v>
      </c>
      <c r="L22" s="19">
        <v>0</v>
      </c>
      <c r="M22" s="19">
        <v>0</v>
      </c>
      <c r="N22" s="19">
        <v>0</v>
      </c>
      <c r="O22" s="19">
        <v>1</v>
      </c>
      <c r="Q22" s="16">
        <v>0</v>
      </c>
      <c r="R22" s="16">
        <v>0</v>
      </c>
      <c r="S22" s="16">
        <v>0</v>
      </c>
      <c r="T22" s="16">
        <v>1</v>
      </c>
      <c r="V22" s="15">
        <v>0</v>
      </c>
      <c r="W22" s="15">
        <v>0</v>
      </c>
      <c r="X22" s="15">
        <v>0</v>
      </c>
      <c r="Y22" s="15">
        <v>1</v>
      </c>
      <c r="AA22" s="12">
        <v>0</v>
      </c>
      <c r="AB22" s="12">
        <v>0</v>
      </c>
      <c r="AC22" s="12">
        <v>0</v>
      </c>
      <c r="AD22" s="12">
        <v>1</v>
      </c>
    </row>
    <row r="23" spans="2:35">
      <c r="B23" s="39"/>
      <c r="C23" s="40"/>
      <c r="D23" s="40"/>
      <c r="E23" s="41"/>
    </row>
    <row r="24" spans="2:35">
      <c r="B24" s="44" t="s">
        <v>231</v>
      </c>
      <c r="C24" s="40"/>
      <c r="D24" s="40"/>
      <c r="E24" s="41"/>
    </row>
    <row r="25" spans="2:35">
      <c r="B25" s="39" t="s">
        <v>22</v>
      </c>
      <c r="C25" s="40" t="s">
        <v>26</v>
      </c>
      <c r="D25" s="40" t="s">
        <v>27</v>
      </c>
      <c r="E25" s="41" t="s">
        <v>28</v>
      </c>
    </row>
    <row r="26" spans="2:35">
      <c r="B26" s="39"/>
      <c r="C26" s="3">
        <v>3</v>
      </c>
      <c r="D26" s="13">
        <v>-2.5</v>
      </c>
      <c r="E26" s="47">
        <v>-2</v>
      </c>
      <c r="F26" t="s">
        <v>33</v>
      </c>
      <c r="G26" s="20">
        <f t="array" ref="G26:J29">MMULT(L26:O29, MMULT(Q26:T29,MMULT(V26:Y29,MMULT(AA26:AD29,AF26:AI29))))</f>
        <v>-0.49999999999999978</v>
      </c>
      <c r="H26" s="20">
        <v>0.61237243569579447</v>
      </c>
      <c r="I26" s="20">
        <v>0.61237243569579458</v>
      </c>
      <c r="J26" s="21">
        <v>3</v>
      </c>
      <c r="K26" t="s">
        <v>21</v>
      </c>
      <c r="L26" s="12">
        <v>1</v>
      </c>
      <c r="M26" s="12">
        <v>0</v>
      </c>
      <c r="N26" s="12">
        <v>0</v>
      </c>
      <c r="O26" s="3">
        <f>C26</f>
        <v>3</v>
      </c>
      <c r="P26" t="s">
        <v>20</v>
      </c>
      <c r="Q26" s="14">
        <f>COS(RADIANS(C28))</f>
        <v>-0.49999999999999978</v>
      </c>
      <c r="R26" s="15">
        <v>0</v>
      </c>
      <c r="S26" s="14">
        <f>SIN(RADIANS(C28))</f>
        <v>0.86602540378443871</v>
      </c>
      <c r="T26" s="15">
        <v>0</v>
      </c>
      <c r="U26" t="s">
        <v>19</v>
      </c>
      <c r="V26" s="16">
        <v>1</v>
      </c>
      <c r="W26" s="16">
        <v>0</v>
      </c>
      <c r="X26" s="16">
        <v>0</v>
      </c>
      <c r="Y26" s="16">
        <v>0</v>
      </c>
      <c r="Z26" t="s">
        <v>18</v>
      </c>
      <c r="AA26" s="18">
        <f>COS(RADIANS(E28))</f>
        <v>1</v>
      </c>
      <c r="AB26" s="18">
        <f>SIN(RADIANS(E28))</f>
        <v>0</v>
      </c>
      <c r="AC26" s="19">
        <v>0</v>
      </c>
      <c r="AD26" s="19">
        <v>0</v>
      </c>
      <c r="AE26" t="s">
        <v>32</v>
      </c>
      <c r="AF26" s="20">
        <f>C30</f>
        <v>1</v>
      </c>
      <c r="AG26" s="22">
        <v>0</v>
      </c>
      <c r="AH26" s="22">
        <v>0</v>
      </c>
      <c r="AI26" s="22">
        <v>0</v>
      </c>
    </row>
    <row r="27" spans="2:35">
      <c r="B27" s="39"/>
      <c r="C27" s="40" t="s">
        <v>25</v>
      </c>
      <c r="D27" s="40" t="s">
        <v>24</v>
      </c>
      <c r="E27" s="41" t="s">
        <v>23</v>
      </c>
      <c r="G27" s="20">
        <v>0</v>
      </c>
      <c r="H27" s="20">
        <v>0.70710678118654757</v>
      </c>
      <c r="I27" s="20">
        <v>-0.70710678118654746</v>
      </c>
      <c r="J27" s="21">
        <v>-2.5</v>
      </c>
      <c r="L27" s="12">
        <v>0</v>
      </c>
      <c r="M27" s="12">
        <v>1</v>
      </c>
      <c r="N27" s="12">
        <v>0</v>
      </c>
      <c r="O27" s="13">
        <f>D26</f>
        <v>-2.5</v>
      </c>
      <c r="Q27" s="15">
        <v>0</v>
      </c>
      <c r="R27" s="15">
        <v>1</v>
      </c>
      <c r="S27" s="15">
        <v>0</v>
      </c>
      <c r="T27" s="15">
        <v>0</v>
      </c>
      <c r="V27" s="16">
        <v>0</v>
      </c>
      <c r="W27" s="18">
        <f>COS(RADIANS(D28))</f>
        <v>0.70710678118654757</v>
      </c>
      <c r="X27" s="18">
        <f>-SIN(RADIANS(D28))</f>
        <v>-0.70710678118654746</v>
      </c>
      <c r="Y27" s="16">
        <v>0</v>
      </c>
      <c r="AA27" s="18">
        <f>-SIN(RADIANS(E28))</f>
        <v>0</v>
      </c>
      <c r="AB27" s="18">
        <f>COS(RADIANS(E28))</f>
        <v>1</v>
      </c>
      <c r="AC27" s="19">
        <v>0</v>
      </c>
      <c r="AD27" s="19">
        <v>0</v>
      </c>
      <c r="AF27" s="22">
        <v>0</v>
      </c>
      <c r="AG27" s="21">
        <f>D30</f>
        <v>1</v>
      </c>
      <c r="AH27" s="22">
        <v>0</v>
      </c>
      <c r="AI27" s="22">
        <v>0</v>
      </c>
    </row>
    <row r="28" spans="2:35">
      <c r="B28" s="39"/>
      <c r="C28" s="14">
        <v>120</v>
      </c>
      <c r="D28" s="17">
        <v>45</v>
      </c>
      <c r="E28" s="48">
        <v>0</v>
      </c>
      <c r="G28" s="20">
        <v>-0.86602540378443871</v>
      </c>
      <c r="H28" s="20">
        <v>-0.35355339059327356</v>
      </c>
      <c r="I28" s="20">
        <v>-0.35355339059327362</v>
      </c>
      <c r="J28" s="21">
        <v>-2</v>
      </c>
      <c r="L28" s="12">
        <v>0</v>
      </c>
      <c r="M28" s="12">
        <v>0</v>
      </c>
      <c r="N28" s="12">
        <v>1</v>
      </c>
      <c r="O28" s="5">
        <f>E26</f>
        <v>-2</v>
      </c>
      <c r="Q28" s="14">
        <f>-SIN(RADIANS(C28))</f>
        <v>-0.86602540378443871</v>
      </c>
      <c r="R28" s="15">
        <v>0</v>
      </c>
      <c r="S28" s="14">
        <f>COS(RADIANS(C28))</f>
        <v>-0.49999999999999978</v>
      </c>
      <c r="T28" s="15">
        <v>0</v>
      </c>
      <c r="V28" s="16">
        <v>0</v>
      </c>
      <c r="W28" s="18">
        <f>SIN(RADIANS(D28))</f>
        <v>0.70710678118654746</v>
      </c>
      <c r="X28" s="18">
        <f>COS(RADIANS(D28))</f>
        <v>0.70710678118654757</v>
      </c>
      <c r="Y28" s="16">
        <v>0</v>
      </c>
      <c r="AA28" s="19">
        <v>0</v>
      </c>
      <c r="AB28" s="19">
        <v>0</v>
      </c>
      <c r="AC28" s="19">
        <v>1</v>
      </c>
      <c r="AD28" s="19">
        <v>0</v>
      </c>
      <c r="AF28" s="22">
        <v>0</v>
      </c>
      <c r="AG28" s="22">
        <v>0</v>
      </c>
      <c r="AH28" s="23">
        <f>E30</f>
        <v>1</v>
      </c>
      <c r="AI28" s="22">
        <v>0</v>
      </c>
    </row>
    <row r="29" spans="2:35">
      <c r="B29" s="39"/>
      <c r="C29" s="40" t="s">
        <v>29</v>
      </c>
      <c r="D29" s="40" t="s">
        <v>30</v>
      </c>
      <c r="E29" s="41" t="s">
        <v>31</v>
      </c>
      <c r="G29" s="4">
        <v>0</v>
      </c>
      <c r="H29" s="4">
        <v>0</v>
      </c>
      <c r="I29" s="4">
        <v>0</v>
      </c>
      <c r="J29" s="4">
        <v>1</v>
      </c>
      <c r="L29" s="12">
        <v>0</v>
      </c>
      <c r="M29" s="12">
        <v>0</v>
      </c>
      <c r="N29" s="12">
        <v>0</v>
      </c>
      <c r="O29" s="12">
        <v>1</v>
      </c>
      <c r="Q29" s="15">
        <v>0</v>
      </c>
      <c r="R29" s="15">
        <v>0</v>
      </c>
      <c r="S29" s="15">
        <v>0</v>
      </c>
      <c r="T29" s="15">
        <v>1</v>
      </c>
      <c r="V29" s="16">
        <v>0</v>
      </c>
      <c r="W29" s="16">
        <v>0</v>
      </c>
      <c r="X29" s="16">
        <v>0</v>
      </c>
      <c r="Y29" s="16">
        <v>1</v>
      </c>
      <c r="AA29" s="19">
        <v>0</v>
      </c>
      <c r="AB29" s="19">
        <v>0</v>
      </c>
      <c r="AC29" s="19">
        <v>0</v>
      </c>
      <c r="AD29" s="19">
        <v>1</v>
      </c>
      <c r="AF29" s="22">
        <v>0</v>
      </c>
      <c r="AG29" s="22">
        <v>0</v>
      </c>
      <c r="AH29" s="22">
        <v>0</v>
      </c>
      <c r="AI29" s="22">
        <v>1</v>
      </c>
    </row>
    <row r="30" spans="2:35">
      <c r="B30" s="39"/>
      <c r="C30" s="20">
        <v>1</v>
      </c>
      <c r="D30" s="21">
        <v>1</v>
      </c>
      <c r="E30" s="49">
        <v>1</v>
      </c>
    </row>
    <row r="31" spans="2:35" ht="17" thickBot="1">
      <c r="B31" s="50"/>
      <c r="C31" s="51"/>
      <c r="D31" s="51"/>
      <c r="E31" s="52"/>
    </row>
    <row r="32" spans="2:35">
      <c r="B32" s="38" t="s">
        <v>232</v>
      </c>
    </row>
    <row r="33" spans="2:45">
      <c r="B33" t="s">
        <v>38</v>
      </c>
      <c r="E33" s="27">
        <f t="array" ref="E33:H36">MMULT(G12:J15,MMULT(G19:J22,G26:J29))</f>
        <v>-0.69282032302755081</v>
      </c>
      <c r="F33" s="27">
        <v>0.28284271247461906</v>
      </c>
      <c r="G33" s="27">
        <v>0.28284271247461917</v>
      </c>
      <c r="H33" s="27">
        <v>-0.76076951545867366</v>
      </c>
    </row>
    <row r="34" spans="2:45">
      <c r="E34" s="27">
        <v>0.43301270189221946</v>
      </c>
      <c r="F34" s="27">
        <v>0.88388347648318422</v>
      </c>
      <c r="G34" s="27">
        <v>0.17677669529663675</v>
      </c>
      <c r="H34" s="27">
        <v>1.2745190528383283</v>
      </c>
    </row>
    <row r="35" spans="2:45">
      <c r="E35" s="27">
        <v>0.27777777777777801</v>
      </c>
      <c r="F35" s="27">
        <v>-0.34020690871988596</v>
      </c>
      <c r="G35" s="27">
        <v>1.0206207261596576</v>
      </c>
      <c r="H35" s="27">
        <v>6.8185520881437789</v>
      </c>
    </row>
    <row r="36" spans="2:45">
      <c r="E36" s="27">
        <v>0.25000000000000022</v>
      </c>
      <c r="F36" s="27">
        <v>-0.30618621784789735</v>
      </c>
      <c r="G36" s="27">
        <v>0.91855865354369182</v>
      </c>
      <c r="H36" s="27">
        <v>7.0866968793294003</v>
      </c>
    </row>
    <row r="37" spans="2:45">
      <c r="T37" t="s">
        <v>51</v>
      </c>
      <c r="AH37" t="s">
        <v>52</v>
      </c>
    </row>
    <row r="38" spans="2:45">
      <c r="D38" s="53" t="s">
        <v>236</v>
      </c>
      <c r="E38" s="53"/>
      <c r="F38" s="53"/>
      <c r="G38" s="5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</row>
    <row r="39" spans="2:45">
      <c r="B39" t="s">
        <v>34</v>
      </c>
      <c r="D39" s="24" t="s">
        <v>5</v>
      </c>
      <c r="E39" s="25" t="s">
        <v>35</v>
      </c>
      <c r="F39" s="25" t="s">
        <v>36</v>
      </c>
      <c r="G39" s="26" t="s">
        <v>37</v>
      </c>
      <c r="T39" s="33"/>
      <c r="U39" s="33" t="s">
        <v>49</v>
      </c>
      <c r="V39" s="33" t="s">
        <v>41</v>
      </c>
      <c r="W39" s="33" t="s">
        <v>42</v>
      </c>
      <c r="X39" s="33" t="s">
        <v>50</v>
      </c>
      <c r="Y39" s="33"/>
      <c r="Z39" s="33"/>
      <c r="AA39" s="33"/>
      <c r="AB39" s="33"/>
      <c r="AC39" s="33"/>
      <c r="AD39" s="33"/>
      <c r="AE39" s="33"/>
      <c r="AH39" s="33"/>
      <c r="AI39" s="33" t="s">
        <v>49</v>
      </c>
      <c r="AJ39" s="33" t="s">
        <v>41</v>
      </c>
      <c r="AK39" s="33" t="s">
        <v>42</v>
      </c>
      <c r="AL39" s="33" t="s">
        <v>50</v>
      </c>
      <c r="AM39" s="33"/>
      <c r="AN39" s="33"/>
      <c r="AO39" s="33"/>
      <c r="AP39" s="33"/>
      <c r="AQ39" s="33"/>
      <c r="AR39" s="33"/>
      <c r="AS39" s="33"/>
    </row>
    <row r="40" spans="2:45">
      <c r="D40">
        <v>0</v>
      </c>
      <c r="E40">
        <v>1</v>
      </c>
      <c r="F40">
        <v>0</v>
      </c>
      <c r="G40">
        <v>-1</v>
      </c>
      <c r="T40" s="33"/>
      <c r="U40" s="33">
        <v>0</v>
      </c>
      <c r="V40" s="33">
        <v>1</v>
      </c>
      <c r="W40" s="33">
        <v>0</v>
      </c>
      <c r="X40" s="33">
        <v>0</v>
      </c>
      <c r="Y40" s="33"/>
      <c r="Z40" s="33"/>
      <c r="AA40" s="33">
        <f t="array" ref="AA40:AA43">MMULT($G$12:$J$15,MMULT($G$19:$J$22,U40:U43))</f>
        <v>-2.0392304845413265</v>
      </c>
      <c r="AB40" s="33">
        <f t="array" ref="AB40:AB43">MMULT($G$12:$J$15,MMULT($G$19:$J$22,V40:V43))</f>
        <v>-1.3464101615137753</v>
      </c>
      <c r="AC40" s="33">
        <f t="array" ref="AC40:AC43">MMULT($G$12:$J$15,MMULT($G$19:$J$22,W40:W43))</f>
        <v>-2.0392304845413265</v>
      </c>
      <c r="AD40" s="33">
        <f t="array" ref="AD40:AD43">MMULT($G$12:$J$15,MMULT($G$19:$J$22,X40:X43))</f>
        <v>-1.6392304845413266</v>
      </c>
      <c r="AE40" s="33"/>
      <c r="AH40" s="33"/>
      <c r="AI40" s="33">
        <f>C26</f>
        <v>3</v>
      </c>
      <c r="AJ40" s="35">
        <v>0</v>
      </c>
      <c r="AK40" s="33">
        <f t="shared" ref="AK40:AL40" si="0">$AI40</f>
        <v>3</v>
      </c>
      <c r="AL40" s="33">
        <f t="shared" si="0"/>
        <v>3</v>
      </c>
      <c r="AM40" s="33"/>
      <c r="AN40" s="33"/>
      <c r="AO40" s="33">
        <f t="array" ref="AO40:AO43">MMULT($G$12:$J$15,MMULT($G$19:$J$22,AI40:AI43))</f>
        <v>-0.76076951545867366</v>
      </c>
      <c r="AP40" s="33">
        <f t="array" ref="AP40:AP43">MMULT($G$12:$J$15,MMULT($G$19:$J$22,AJ40:AJ43))</f>
        <v>-2.8392304845413268</v>
      </c>
      <c r="AQ40" s="33">
        <f t="array" ref="AQ40:AQ43">MMULT($G$12:$J$15,MMULT($G$19:$J$22,AK40:AK43))</f>
        <v>-0.76076951545867366</v>
      </c>
      <c r="AR40" s="33">
        <f t="array" ref="AR40:AR43">MMULT($G$12:$J$15,MMULT($G$19:$J$22,AL40:AL43))</f>
        <v>3.923048454132641E-2</v>
      </c>
      <c r="AS40" s="33"/>
    </row>
    <row r="41" spans="2:45">
      <c r="D41">
        <v>0</v>
      </c>
      <c r="E41">
        <v>0</v>
      </c>
      <c r="F41">
        <v>1</v>
      </c>
      <c r="G41">
        <v>0</v>
      </c>
      <c r="T41" s="33"/>
      <c r="U41" s="33">
        <v>0</v>
      </c>
      <c r="V41" s="33">
        <v>0</v>
      </c>
      <c r="W41" s="33">
        <v>1</v>
      </c>
      <c r="X41" s="33">
        <v>0</v>
      </c>
      <c r="Y41" s="33"/>
      <c r="Z41" s="33"/>
      <c r="AA41" s="33">
        <v>-0.27451905283832922</v>
      </c>
      <c r="AB41" s="33">
        <v>0.15849364905389002</v>
      </c>
      <c r="AC41" s="33">
        <v>0.22548094716167089</v>
      </c>
      <c r="AD41" s="33">
        <v>-1.0245190528383292</v>
      </c>
      <c r="AE41" s="33"/>
      <c r="AH41" s="33"/>
      <c r="AI41" s="33">
        <f>D26</f>
        <v>-2.5</v>
      </c>
      <c r="AJ41" s="33">
        <f t="shared" ref="AJ41:AL42" si="1">$AI41</f>
        <v>-2.5</v>
      </c>
      <c r="AK41" s="35">
        <v>0</v>
      </c>
      <c r="AL41" s="33">
        <f t="shared" si="1"/>
        <v>-2.5</v>
      </c>
      <c r="AM41" s="33"/>
      <c r="AN41" s="33"/>
      <c r="AO41" s="33">
        <v>1.2745190528383283</v>
      </c>
      <c r="AP41" s="33">
        <v>-2.4519052838329447E-2</v>
      </c>
      <c r="AQ41" s="33">
        <v>2.524519052838329</v>
      </c>
      <c r="AR41" s="33">
        <v>-0.22548094716167166</v>
      </c>
      <c r="AS41" s="33"/>
    </row>
    <row r="42" spans="2:45">
      <c r="D42">
        <v>-2</v>
      </c>
      <c r="E42">
        <v>1</v>
      </c>
      <c r="F42">
        <v>1</v>
      </c>
      <c r="G42">
        <v>1</v>
      </c>
      <c r="T42" s="33"/>
      <c r="U42" s="33">
        <v>0</v>
      </c>
      <c r="V42" s="33">
        <v>0</v>
      </c>
      <c r="W42" s="33">
        <v>0</v>
      </c>
      <c r="X42" s="33">
        <v>1</v>
      </c>
      <c r="Y42" s="33"/>
      <c r="Z42" s="33"/>
      <c r="AA42" s="33">
        <v>2.6173421845376277</v>
      </c>
      <c r="AB42" s="33">
        <v>2.8951199623154054</v>
      </c>
      <c r="AC42" s="33">
        <v>1.6550917358882515</v>
      </c>
      <c r="AD42" s="33">
        <v>2.1362169602129386</v>
      </c>
      <c r="AE42" s="33"/>
      <c r="AH42" s="33"/>
      <c r="AI42" s="33">
        <f>E26</f>
        <v>-2</v>
      </c>
      <c r="AJ42" s="33">
        <f t="shared" si="1"/>
        <v>-2</v>
      </c>
      <c r="AK42" s="33">
        <f t="shared" si="1"/>
        <v>-2</v>
      </c>
      <c r="AL42" s="35">
        <v>0</v>
      </c>
      <c r="AM42" s="33"/>
      <c r="AN42" s="33"/>
      <c r="AO42" s="33">
        <v>6.8185520881437789</v>
      </c>
      <c r="AP42" s="33">
        <v>5.985218754810445</v>
      </c>
      <c r="AQ42" s="33">
        <v>4.4129259665203371</v>
      </c>
      <c r="AR42" s="33">
        <v>5.8563016394944016</v>
      </c>
      <c r="AS42" s="33"/>
    </row>
    <row r="43" spans="2:45">
      <c r="B43" s="38" t="s">
        <v>237</v>
      </c>
      <c r="D43" s="31">
        <v>1</v>
      </c>
      <c r="E43" s="31">
        <v>1</v>
      </c>
      <c r="F43" s="31">
        <v>1</v>
      </c>
      <c r="G43" s="31">
        <v>1</v>
      </c>
      <c r="I43" t="s">
        <v>46</v>
      </c>
      <c r="J43" t="s">
        <v>47</v>
      </c>
      <c r="T43" s="33"/>
      <c r="U43" s="33">
        <v>1</v>
      </c>
      <c r="V43" s="33">
        <v>1</v>
      </c>
      <c r="W43" s="33">
        <v>1</v>
      </c>
      <c r="X43" s="33">
        <v>1</v>
      </c>
      <c r="Y43" s="33"/>
      <c r="Z43" s="33"/>
      <c r="AA43" s="33">
        <v>3.3056079660838646</v>
      </c>
      <c r="AB43" s="33">
        <v>3.5556079660838646</v>
      </c>
      <c r="AC43" s="33">
        <v>2.4395825622994263</v>
      </c>
      <c r="AD43" s="33">
        <v>2.872595264191645</v>
      </c>
      <c r="AE43" s="33"/>
      <c r="AH43" s="33"/>
      <c r="AI43" s="33">
        <v>1</v>
      </c>
      <c r="AJ43" s="33">
        <v>1</v>
      </c>
      <c r="AK43" s="33">
        <v>1</v>
      </c>
      <c r="AL43" s="33">
        <v>1</v>
      </c>
      <c r="AM43" s="33"/>
      <c r="AN43" s="33"/>
      <c r="AO43" s="33">
        <v>7.0866968793294003</v>
      </c>
      <c r="AP43" s="33">
        <v>6.3366968793294003</v>
      </c>
      <c r="AQ43" s="33">
        <v>4.921633369868303</v>
      </c>
      <c r="AR43" s="33">
        <v>6.220671475544961</v>
      </c>
      <c r="AS43" s="33"/>
    </row>
    <row r="44" spans="2:45"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</row>
    <row r="45" spans="2:45">
      <c r="B45" s="38" t="s">
        <v>234</v>
      </c>
      <c r="D45" s="24" t="s">
        <v>5</v>
      </c>
      <c r="E45" s="25" t="s">
        <v>35</v>
      </c>
      <c r="F45" s="25" t="s">
        <v>36</v>
      </c>
      <c r="G45" s="26" t="s">
        <v>37</v>
      </c>
      <c r="I45" s="38" t="s">
        <v>233</v>
      </c>
      <c r="N45" s="24" t="s">
        <v>5</v>
      </c>
      <c r="O45" s="25" t="s">
        <v>35</v>
      </c>
      <c r="P45" s="25" t="s">
        <v>36</v>
      </c>
      <c r="Q45" s="26" t="s">
        <v>37</v>
      </c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</row>
    <row r="46" spans="2:45">
      <c r="B46" t="s">
        <v>43</v>
      </c>
      <c r="D46">
        <f t="array" ref="D46:D49">MMULT($E$33:$H$36,D40:D43)</f>
        <v>-1.326454940407912</v>
      </c>
      <c r="E46">
        <f t="array" ref="E46:E49">MMULT($E$33:$H$36,E40:E43)</f>
        <v>-1.1707471260116054</v>
      </c>
      <c r="F46">
        <f t="array" ref="F46:F49">MMULT($E$33:$H$36,F40:F43)</f>
        <v>-0.19508409050943543</v>
      </c>
      <c r="G46">
        <f t="array" ref="G46:G49">MMULT($E$33:$H$36,G40:G43)</f>
        <v>0.21489352004349638</v>
      </c>
      <c r="I46" t="s">
        <v>44</v>
      </c>
      <c r="N46" s="29">
        <f t="shared" ref="N46:Q48" si="2">D46/D$49</f>
        <v>-0.25267831874037167</v>
      </c>
      <c r="O46" s="29">
        <f t="shared" si="2"/>
        <v>-0.14181839936384719</v>
      </c>
      <c r="P46" s="29">
        <f t="shared" si="2"/>
        <v>-2.5338658807593423E-2</v>
      </c>
      <c r="Q46" s="29">
        <f t="shared" si="2"/>
        <v>2.7709405464797717E-2</v>
      </c>
      <c r="T46" s="33"/>
      <c r="U46" s="33"/>
      <c r="V46" s="33"/>
      <c r="W46" s="33"/>
      <c r="X46" s="33"/>
      <c r="Y46" s="33"/>
      <c r="Z46" s="33"/>
      <c r="AA46" s="33">
        <f>AA40/AA$43</f>
        <v>-0.61690028141999897</v>
      </c>
      <c r="AB46" s="33">
        <f t="shared" ref="AB46:AD46" si="3">AB40/AB$43</f>
        <v>-0.37867227612179843</v>
      </c>
      <c r="AC46" s="33">
        <f t="shared" si="3"/>
        <v>-0.83589320404850398</v>
      </c>
      <c r="AD46" s="33">
        <f t="shared" si="3"/>
        <v>-0.57064442909001656</v>
      </c>
      <c r="AE46" s="33"/>
      <c r="AH46" s="33"/>
      <c r="AI46" s="33"/>
      <c r="AJ46" s="33"/>
      <c r="AK46" s="33"/>
      <c r="AL46" s="33"/>
      <c r="AM46" s="33"/>
      <c r="AN46" s="33"/>
      <c r="AO46" s="33">
        <f>AO40/AO$43</f>
        <v>-0.10735177875008303</v>
      </c>
      <c r="AP46" s="33">
        <f t="shared" ref="AP46:AR46" si="4">AP40/AP$43</f>
        <v>-0.44806159085864256</v>
      </c>
      <c r="AQ46" s="33">
        <f t="shared" si="4"/>
        <v>-0.15457663305770192</v>
      </c>
      <c r="AR46" s="33">
        <f t="shared" si="4"/>
        <v>6.30647104505541E-3</v>
      </c>
      <c r="AS46" s="33"/>
    </row>
    <row r="47" spans="2:45">
      <c r="D47">
        <v>0.92096566224505483</v>
      </c>
      <c r="E47">
        <v>1.8843084500271845</v>
      </c>
      <c r="F47">
        <v>2.3351792246181491</v>
      </c>
      <c r="G47">
        <v>1.0182830462427457</v>
      </c>
      <c r="N47" s="29">
        <f t="shared" si="2"/>
        <v>0.17543608008435699</v>
      </c>
      <c r="O47" s="29">
        <f t="shared" si="2"/>
        <v>0.22825561759096569</v>
      </c>
      <c r="P47" s="29">
        <f t="shared" si="2"/>
        <v>0.30330668929826454</v>
      </c>
      <c r="Q47" s="29">
        <f t="shared" si="2"/>
        <v>0.13130232033315117</v>
      </c>
      <c r="T47" s="33"/>
      <c r="U47" s="33"/>
      <c r="V47" s="33"/>
      <c r="W47" s="33"/>
      <c r="X47" s="33"/>
      <c r="Y47" s="33"/>
      <c r="Z47" s="33"/>
      <c r="AA47" s="33">
        <f t="shared" ref="AA47:AD48" si="5">AA41/AA$43</f>
        <v>-8.3046463965159911E-2</v>
      </c>
      <c r="AB47" s="33">
        <f t="shared" si="5"/>
        <v>4.45756817303046E-2</v>
      </c>
      <c r="AC47" s="33">
        <f t="shared" si="5"/>
        <v>9.2426036587646379E-2</v>
      </c>
      <c r="AD47" s="33">
        <f t="shared" si="5"/>
        <v>-0.3566527681812604</v>
      </c>
      <c r="AE47" s="33"/>
      <c r="AH47" s="33"/>
      <c r="AI47" s="33"/>
      <c r="AJ47" s="33"/>
      <c r="AK47" s="33"/>
      <c r="AL47" s="33"/>
      <c r="AM47" s="33"/>
      <c r="AN47" s="33"/>
      <c r="AO47" s="33">
        <f t="shared" ref="AO47:AR47" si="6">AO41/AO$43</f>
        <v>0.17984670073244807</v>
      </c>
      <c r="AP47" s="33">
        <f t="shared" si="6"/>
        <v>-3.8693744241280873E-3</v>
      </c>
      <c r="AQ47" s="33">
        <f t="shared" si="6"/>
        <v>0.51294333874891662</v>
      </c>
      <c r="AR47" s="33">
        <f t="shared" si="6"/>
        <v>-3.6247043112322283E-2</v>
      </c>
      <c r="AS47" s="33"/>
    </row>
    <row r="48" spans="2:45">
      <c r="D48">
        <v>4.7773106358244632</v>
      </c>
      <c r="E48">
        <v>8.1169505920812135</v>
      </c>
      <c r="F48">
        <v>7.4989659055835505</v>
      </c>
      <c r="G48">
        <v>7.5613950365256581</v>
      </c>
      <c r="N48" s="29">
        <f t="shared" si="2"/>
        <v>0.91003680772556539</v>
      </c>
      <c r="O48" s="29">
        <f t="shared" si="2"/>
        <v>0.98324643734635009</v>
      </c>
      <c r="P48" s="29">
        <f t="shared" si="2"/>
        <v>0.97400940279221404</v>
      </c>
      <c r="Q48" s="29">
        <f t="shared" si="2"/>
        <v>0.97500269391180028</v>
      </c>
      <c r="T48" s="33"/>
      <c r="U48" s="33"/>
      <c r="V48" s="33"/>
      <c r="W48" s="33"/>
      <c r="X48" s="33"/>
      <c r="Y48" s="33"/>
      <c r="Z48" s="33"/>
      <c r="AA48" s="33">
        <f t="shared" si="5"/>
        <v>0.79178844297086393</v>
      </c>
      <c r="AB48" s="33">
        <f t="shared" si="5"/>
        <v>0.81424048712099195</v>
      </c>
      <c r="AC48" s="33">
        <f t="shared" si="5"/>
        <v>0.67843235210217534</v>
      </c>
      <c r="AD48" s="33">
        <f t="shared" si="5"/>
        <v>0.74365400056247566</v>
      </c>
      <c r="AE48" s="33"/>
      <c r="AH48" s="33"/>
      <c r="AI48" s="33"/>
      <c r="AJ48" s="33"/>
      <c r="AK48" s="33"/>
      <c r="AL48" s="33"/>
      <c r="AM48" s="33"/>
      <c r="AN48" s="33"/>
      <c r="AO48" s="33">
        <f t="shared" ref="AO48:AR48" si="7">AO42/AO$43</f>
        <v>0.96216223217226193</v>
      </c>
      <c r="AP48" s="33">
        <f t="shared" si="7"/>
        <v>0.94453291182895405</v>
      </c>
      <c r="AQ48" s="33">
        <f t="shared" si="7"/>
        <v>0.8966385008557477</v>
      </c>
      <c r="AR48" s="33">
        <f t="shared" si="7"/>
        <v>0.94142596382352139</v>
      </c>
      <c r="AS48" s="33"/>
    </row>
    <row r="49" spans="2:45">
      <c r="D49">
        <v>5.2495795722420162</v>
      </c>
      <c r="E49">
        <v>8.2552555328730932</v>
      </c>
      <c r="F49">
        <v>7.699069315025195</v>
      </c>
      <c r="G49">
        <v>7.7552555328730914</v>
      </c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</row>
    <row r="50" spans="2:45"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</row>
    <row r="51" spans="2:45">
      <c r="B51" s="38" t="s">
        <v>235</v>
      </c>
      <c r="D51" s="24" t="s">
        <v>5</v>
      </c>
      <c r="E51" s="25" t="s">
        <v>35</v>
      </c>
      <c r="F51" s="25" t="s">
        <v>36</v>
      </c>
      <c r="G51" s="26" t="s">
        <v>37</v>
      </c>
      <c r="T51" s="33"/>
      <c r="U51" s="33"/>
      <c r="V51" s="33"/>
      <c r="W51" s="33"/>
      <c r="X51" s="33"/>
      <c r="Y51" s="33"/>
      <c r="Z51" s="33"/>
      <c r="AA51" s="34">
        <f>ROUND((AA46+1)/2*($C$5-1),0)</f>
        <v>184</v>
      </c>
      <c r="AB51" s="34">
        <f t="shared" ref="AB51:AD51" si="8">ROUND((AB46+1)/2*($C$5-1),0)</f>
        <v>298</v>
      </c>
      <c r="AC51" s="34">
        <f t="shared" si="8"/>
        <v>79</v>
      </c>
      <c r="AD51" s="34">
        <f t="shared" si="8"/>
        <v>206</v>
      </c>
      <c r="AE51" s="33"/>
      <c r="AH51" s="33"/>
      <c r="AI51" s="33"/>
      <c r="AJ51" s="33"/>
      <c r="AK51" s="33"/>
      <c r="AL51" s="33"/>
      <c r="AM51" s="33"/>
      <c r="AN51" s="33"/>
      <c r="AO51" s="34">
        <f>ROUND((AO46+1)/2*($C$5-1),0)</f>
        <v>428</v>
      </c>
      <c r="AP51" s="34">
        <f t="shared" ref="AP51:AR51" si="9">ROUND((AP46+1)/2*($C$5-1),0)</f>
        <v>265</v>
      </c>
      <c r="AQ51" s="34">
        <f t="shared" si="9"/>
        <v>405</v>
      </c>
      <c r="AR51" s="34">
        <f t="shared" si="9"/>
        <v>483</v>
      </c>
      <c r="AS51" s="33"/>
    </row>
    <row r="52" spans="2:45">
      <c r="B52" t="s">
        <v>45</v>
      </c>
      <c r="D52" s="30">
        <f>ROUND((N46+1)/2*($C$5-1),0)</f>
        <v>358</v>
      </c>
      <c r="E52" s="30">
        <f>ROUND((O46+1)/2*($C$5-1),0)</f>
        <v>411</v>
      </c>
      <c r="F52" s="30">
        <f>ROUND((P46+1)/2*($C$5-1),0)</f>
        <v>467</v>
      </c>
      <c r="G52" s="30">
        <f>ROUND((Q46+1)/2*($C$5-1),0)</f>
        <v>493</v>
      </c>
      <c r="T52" s="33"/>
      <c r="U52" s="33"/>
      <c r="V52" s="33"/>
      <c r="W52" s="33"/>
      <c r="X52" s="33"/>
      <c r="Y52" s="33"/>
      <c r="Z52" s="33"/>
      <c r="AA52" s="34">
        <f>ROUND((1-AA47)/2*($D$5-1),0)</f>
        <v>292</v>
      </c>
      <c r="AB52" s="34">
        <f t="shared" ref="AB52:AD52" si="10">ROUND((1-AB47)/2*($D$5-1),0)</f>
        <v>257</v>
      </c>
      <c r="AC52" s="34">
        <f t="shared" si="10"/>
        <v>245</v>
      </c>
      <c r="AD52" s="34">
        <f t="shared" si="10"/>
        <v>366</v>
      </c>
      <c r="AE52" s="33"/>
      <c r="AH52" s="33"/>
      <c r="AI52" s="33"/>
      <c r="AJ52" s="33"/>
      <c r="AK52" s="33"/>
      <c r="AL52" s="33"/>
      <c r="AM52" s="33"/>
      <c r="AN52" s="33"/>
      <c r="AO52" s="34">
        <f>ROUND((1-AO47)/2*($D$5-1),0)</f>
        <v>221</v>
      </c>
      <c r="AP52" s="34">
        <f t="shared" ref="AP52:AR52" si="11">ROUND((1-AP47)/2*($D$5-1),0)</f>
        <v>271</v>
      </c>
      <c r="AQ52" s="34">
        <f t="shared" si="11"/>
        <v>131</v>
      </c>
      <c r="AR52" s="34">
        <f t="shared" si="11"/>
        <v>279</v>
      </c>
      <c r="AS52" s="33"/>
    </row>
    <row r="53" spans="2:45">
      <c r="D53" s="30">
        <f>ROUND((1-N47)/2*($D$5-1),0)</f>
        <v>222</v>
      </c>
      <c r="E53" s="30">
        <f t="shared" ref="E53:G53" si="12">ROUND((1-O47)/2*($D$5-1),0)</f>
        <v>208</v>
      </c>
      <c r="F53" s="30">
        <f t="shared" si="12"/>
        <v>188</v>
      </c>
      <c r="G53" s="30">
        <f t="shared" si="12"/>
        <v>234</v>
      </c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</row>
    <row r="54" spans="2:45">
      <c r="E54" s="29"/>
      <c r="F54" s="29"/>
      <c r="G54" s="29"/>
      <c r="H54" s="29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</row>
    <row r="55" spans="2:45">
      <c r="T55" s="33"/>
      <c r="U55" s="33"/>
      <c r="V55" s="33"/>
      <c r="W55" s="33"/>
      <c r="X55" s="33"/>
      <c r="Y55" s="33"/>
      <c r="Z55" s="33"/>
      <c r="AA55" s="33" t="s">
        <v>41</v>
      </c>
      <c r="AB55" s="33" t="s">
        <v>42</v>
      </c>
      <c r="AC55" s="33"/>
      <c r="AD55" s="33"/>
      <c r="AE55" s="33"/>
      <c r="AH55" s="33"/>
      <c r="AI55" s="33"/>
      <c r="AJ55" s="33"/>
      <c r="AK55" s="33"/>
      <c r="AL55" s="33"/>
      <c r="AM55" s="33"/>
      <c r="AN55" s="33"/>
      <c r="AO55" s="33" t="s">
        <v>41</v>
      </c>
      <c r="AP55" s="33" t="s">
        <v>42</v>
      </c>
      <c r="AQ55" s="33"/>
      <c r="AR55" s="33"/>
      <c r="AS55" s="33"/>
    </row>
    <row r="56" spans="2:45">
      <c r="T56" s="33"/>
      <c r="U56" s="33"/>
      <c r="V56" s="33"/>
      <c r="W56" s="33"/>
      <c r="X56" s="33"/>
      <c r="Y56" s="33"/>
      <c r="Z56" s="33" t="s">
        <v>41</v>
      </c>
      <c r="AA56" s="33"/>
      <c r="AB56" s="33"/>
      <c r="AC56" s="33"/>
      <c r="AD56" s="33"/>
      <c r="AE56" s="33"/>
      <c r="AH56" s="33"/>
      <c r="AI56" s="33"/>
      <c r="AJ56" s="33"/>
      <c r="AK56" s="33"/>
      <c r="AL56" s="33"/>
      <c r="AM56" s="33"/>
      <c r="AN56" s="33" t="s">
        <v>41</v>
      </c>
      <c r="AO56" s="33"/>
      <c r="AP56" s="33"/>
      <c r="AQ56" s="33"/>
      <c r="AR56" s="33"/>
      <c r="AS56" s="33"/>
    </row>
    <row r="57" spans="2:45">
      <c r="T57" s="33"/>
      <c r="U57" s="33"/>
      <c r="V57" s="33"/>
      <c r="W57" s="33"/>
      <c r="X57" s="33"/>
      <c r="Y57" s="33"/>
      <c r="Z57" s="33"/>
      <c r="AA57" s="30">
        <f>$AA$51</f>
        <v>184</v>
      </c>
      <c r="AB57" s="30">
        <f>$AA$52</f>
        <v>292</v>
      </c>
      <c r="AC57" s="33"/>
      <c r="AD57" s="33"/>
      <c r="AE57" s="33"/>
      <c r="AH57" s="33"/>
      <c r="AI57" s="33"/>
      <c r="AJ57" s="33"/>
      <c r="AK57" s="33"/>
      <c r="AL57" s="33"/>
      <c r="AM57" s="33"/>
      <c r="AN57" s="33"/>
      <c r="AO57" s="30">
        <f>$AO$51</f>
        <v>428</v>
      </c>
      <c r="AP57" s="30">
        <f>$AO$52</f>
        <v>221</v>
      </c>
      <c r="AQ57" s="33"/>
      <c r="AR57" s="33"/>
      <c r="AS57" s="33"/>
    </row>
    <row r="58" spans="2:45">
      <c r="B58" t="s">
        <v>40</v>
      </c>
      <c r="T58" s="33"/>
      <c r="U58" s="33"/>
      <c r="V58" s="33"/>
      <c r="W58" s="33"/>
      <c r="X58" s="33"/>
      <c r="Y58" s="33"/>
      <c r="Z58" s="33"/>
      <c r="AA58" s="30">
        <f>AB51</f>
        <v>298</v>
      </c>
      <c r="AB58" s="30">
        <f>AB52</f>
        <v>257</v>
      </c>
      <c r="AC58" s="33"/>
      <c r="AD58" s="33"/>
      <c r="AE58" s="33"/>
      <c r="AH58" s="33"/>
      <c r="AI58" s="33"/>
      <c r="AJ58" s="33"/>
      <c r="AK58" s="33"/>
      <c r="AL58" s="33"/>
      <c r="AM58" s="33"/>
      <c r="AN58" s="33"/>
      <c r="AO58" s="30">
        <f>AP51</f>
        <v>265</v>
      </c>
      <c r="AP58" s="30">
        <f>AP52</f>
        <v>271</v>
      </c>
      <c r="AQ58" s="33"/>
      <c r="AR58" s="33"/>
      <c r="AS58" s="33"/>
    </row>
    <row r="59" spans="2:45">
      <c r="T59" s="33"/>
      <c r="U59" s="33"/>
      <c r="V59" s="33"/>
      <c r="W59" s="33"/>
      <c r="X59" s="33"/>
      <c r="Y59" s="33"/>
      <c r="Z59" s="33" t="s">
        <v>42</v>
      </c>
      <c r="AA59" s="33"/>
      <c r="AB59" s="33"/>
      <c r="AC59" s="33"/>
      <c r="AD59" s="33"/>
      <c r="AE59" s="33"/>
      <c r="AH59" s="33"/>
      <c r="AI59" s="33"/>
      <c r="AJ59" s="33"/>
      <c r="AK59" s="33"/>
      <c r="AL59" s="33"/>
      <c r="AM59" s="33"/>
      <c r="AN59" s="33" t="s">
        <v>42</v>
      </c>
      <c r="AO59" s="33"/>
      <c r="AP59" s="33"/>
      <c r="AQ59" s="33"/>
      <c r="AR59" s="33"/>
      <c r="AS59" s="33"/>
    </row>
    <row r="60" spans="2:45">
      <c r="B60" t="s">
        <v>41</v>
      </c>
      <c r="C60" t="s">
        <v>42</v>
      </c>
      <c r="T60" s="33"/>
      <c r="U60" s="33"/>
      <c r="V60" s="33"/>
      <c r="W60" s="33"/>
      <c r="X60" s="33"/>
      <c r="Y60" s="33"/>
      <c r="Z60" s="33"/>
      <c r="AA60" s="30">
        <f>$AA$51</f>
        <v>184</v>
      </c>
      <c r="AB60" s="30">
        <f>$AA$52</f>
        <v>292</v>
      </c>
      <c r="AC60" s="33"/>
      <c r="AD60" s="33"/>
      <c r="AE60" s="33"/>
      <c r="AH60" s="33"/>
      <c r="AI60" s="33"/>
      <c r="AJ60" s="33"/>
      <c r="AK60" s="33"/>
      <c r="AL60" s="33"/>
      <c r="AM60" s="33"/>
      <c r="AN60" s="33"/>
      <c r="AO60" s="30">
        <f>$AO$51</f>
        <v>428</v>
      </c>
      <c r="AP60" s="30">
        <f>$AO$52</f>
        <v>221</v>
      </c>
      <c r="AQ60" s="33"/>
      <c r="AR60" s="33"/>
      <c r="AS60" s="33"/>
    </row>
    <row r="61" spans="2:45">
      <c r="B61">
        <f>D52</f>
        <v>358</v>
      </c>
      <c r="C61">
        <f>D53</f>
        <v>222</v>
      </c>
      <c r="T61" s="33"/>
      <c r="U61" s="33"/>
      <c r="V61" s="33"/>
      <c r="W61" s="33"/>
      <c r="X61" s="33"/>
      <c r="Y61" s="33"/>
      <c r="Z61" s="33"/>
      <c r="AA61" s="30">
        <f>AC51</f>
        <v>79</v>
      </c>
      <c r="AB61" s="30">
        <f>AC52</f>
        <v>245</v>
      </c>
      <c r="AC61" s="33"/>
      <c r="AD61" s="33"/>
      <c r="AE61" s="33"/>
      <c r="AH61" s="33"/>
      <c r="AI61" s="33"/>
      <c r="AJ61" s="33"/>
      <c r="AK61" s="33"/>
      <c r="AL61" s="33"/>
      <c r="AM61" s="33"/>
      <c r="AN61" s="33"/>
      <c r="AO61" s="30">
        <f>AQ51</f>
        <v>405</v>
      </c>
      <c r="AP61" s="30">
        <f>AQ52</f>
        <v>131</v>
      </c>
      <c r="AQ61" s="33"/>
      <c r="AR61" s="33"/>
      <c r="AS61" s="33"/>
    </row>
    <row r="62" spans="2:45">
      <c r="B62">
        <f>E52</f>
        <v>411</v>
      </c>
      <c r="C62">
        <f>E53</f>
        <v>208</v>
      </c>
      <c r="E62">
        <v>12</v>
      </c>
      <c r="T62" s="33"/>
      <c r="U62" s="33"/>
      <c r="V62" s="33"/>
      <c r="W62" s="33"/>
      <c r="X62" s="33"/>
      <c r="Y62" s="33"/>
      <c r="Z62" s="33" t="s">
        <v>50</v>
      </c>
      <c r="AA62" s="33"/>
      <c r="AB62" s="33"/>
      <c r="AC62" s="33"/>
      <c r="AD62" s="33"/>
      <c r="AE62" s="33"/>
      <c r="AH62" s="33"/>
      <c r="AI62" s="33"/>
      <c r="AJ62" s="33"/>
      <c r="AK62" s="33"/>
      <c r="AL62" s="33"/>
      <c r="AM62" s="33"/>
      <c r="AN62" s="33" t="s">
        <v>50</v>
      </c>
      <c r="AO62" s="33"/>
      <c r="AP62" s="33"/>
      <c r="AQ62" s="33"/>
      <c r="AR62" s="33"/>
      <c r="AS62" s="33"/>
    </row>
    <row r="63" spans="2:45">
      <c r="B63">
        <f>F52</f>
        <v>467</v>
      </c>
      <c r="C63">
        <f>F53</f>
        <v>188</v>
      </c>
      <c r="E63">
        <v>23</v>
      </c>
      <c r="T63" s="33"/>
      <c r="U63" s="33"/>
      <c r="V63" s="33"/>
      <c r="W63" s="33"/>
      <c r="X63" s="33"/>
      <c r="Y63" s="33"/>
      <c r="Z63" s="33"/>
      <c r="AA63" s="30">
        <f>$AA$51</f>
        <v>184</v>
      </c>
      <c r="AB63" s="30">
        <f>$AA$52</f>
        <v>292</v>
      </c>
      <c r="AC63" s="33"/>
      <c r="AD63" s="33"/>
      <c r="AE63" s="33"/>
      <c r="AH63" s="33"/>
      <c r="AI63" s="33"/>
      <c r="AJ63" s="33"/>
      <c r="AK63" s="33"/>
      <c r="AL63" s="33"/>
      <c r="AM63" s="33"/>
      <c r="AN63" s="33"/>
      <c r="AO63" s="30">
        <f>$AO$51</f>
        <v>428</v>
      </c>
      <c r="AP63" s="30">
        <f>$AO$52</f>
        <v>221</v>
      </c>
      <c r="AQ63" s="33"/>
      <c r="AR63" s="33"/>
      <c r="AS63" s="33"/>
    </row>
    <row r="64" spans="2:45">
      <c r="B64">
        <f>G52</f>
        <v>493</v>
      </c>
      <c r="C64">
        <f>G53</f>
        <v>234</v>
      </c>
      <c r="E64">
        <v>34</v>
      </c>
      <c r="T64" s="33"/>
      <c r="U64" s="33"/>
      <c r="V64" s="33"/>
      <c r="W64" s="33"/>
      <c r="X64" s="33"/>
      <c r="Y64" s="33"/>
      <c r="Z64" s="33"/>
      <c r="AA64" s="30">
        <f>AD51</f>
        <v>206</v>
      </c>
      <c r="AB64" s="30">
        <f>AD52</f>
        <v>366</v>
      </c>
      <c r="AC64" s="33"/>
      <c r="AD64" s="33"/>
      <c r="AE64" s="33"/>
      <c r="AH64" s="33"/>
      <c r="AI64" s="33"/>
      <c r="AJ64" s="33"/>
      <c r="AK64" s="33"/>
      <c r="AL64" s="33"/>
      <c r="AM64" s="33"/>
      <c r="AN64" s="33"/>
      <c r="AO64" s="30">
        <f>AR51</f>
        <v>483</v>
      </c>
      <c r="AP64" s="30">
        <f>AR52</f>
        <v>279</v>
      </c>
      <c r="AQ64" s="33"/>
      <c r="AR64" s="33"/>
      <c r="AS64" s="33"/>
    </row>
    <row r="65" spans="2:45">
      <c r="B65">
        <f>E52</f>
        <v>411</v>
      </c>
      <c r="C65">
        <f>E53</f>
        <v>208</v>
      </c>
      <c r="E65">
        <v>42</v>
      </c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</row>
    <row r="66" spans="2:45">
      <c r="B66">
        <f>F52</f>
        <v>467</v>
      </c>
      <c r="C66">
        <f>F53</f>
        <v>188</v>
      </c>
      <c r="E66">
        <v>23</v>
      </c>
    </row>
    <row r="67" spans="2:45">
      <c r="B67">
        <f>D52</f>
        <v>358</v>
      </c>
      <c r="C67">
        <f>D53</f>
        <v>222</v>
      </c>
      <c r="E67">
        <v>31</v>
      </c>
    </row>
    <row r="68" spans="2:45">
      <c r="B68">
        <f>G52</f>
        <v>493</v>
      </c>
      <c r="C68">
        <f>G53</f>
        <v>234</v>
      </c>
      <c r="E68">
        <v>14</v>
      </c>
    </row>
  </sheetData>
  <mergeCells count="3">
    <mergeCell ref="D38:G38"/>
    <mergeCell ref="B3:E3"/>
    <mergeCell ref="F3:J6"/>
  </mergeCells>
  <phoneticPr fontId="4" type="noConversion"/>
  <pageMargins left="0.75" right="0.75" top="1" bottom="1" header="0.5" footer="0.5"/>
  <pageSetup paperSize="9" scale="38" orientation="portrait" horizontalDpi="4294967292" verticalDpi="4294967292"/>
  <colBreaks count="1" manualBreakCount="1">
    <brk id="35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Reset">
                <anchor moveWithCells="1" sizeWithCells="1">
                  <from>
                    <xdr:col>22</xdr:col>
                    <xdr:colOff>0</xdr:colOff>
                    <xdr:row>15</xdr:row>
                    <xdr:rowOff>12700</xdr:rowOff>
                  </from>
                  <to>
                    <xdr:col>24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">
                <anchor moveWithCells="1" sizeWithCells="1">
                  <from>
                    <xdr:col>23</xdr:col>
                    <xdr:colOff>0</xdr:colOff>
                    <xdr:row>2</xdr:row>
                    <xdr:rowOff>25400</xdr:rowOff>
                  </from>
                  <to>
                    <xdr:col>24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wn">
                <anchor moveWithCells="1" sizeWithCells="1">
                  <from>
                    <xdr:col>23</xdr:col>
                    <xdr:colOff>0</xdr:colOff>
                    <xdr:row>4</xdr:row>
                    <xdr:rowOff>38100</xdr:rowOff>
                  </from>
                  <to>
                    <xdr:col>24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Left">
                <anchor moveWithCells="1" sizeWithCells="1">
                  <from>
                    <xdr:col>22</xdr:col>
                    <xdr:colOff>0</xdr:colOff>
                    <xdr:row>3</xdr:row>
                    <xdr:rowOff>25400</xdr:rowOff>
                  </from>
                  <to>
                    <xdr:col>22</xdr:col>
                    <xdr:colOff>406400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Right">
                <anchor moveWithCells="1" sizeWithCells="1">
                  <from>
                    <xdr:col>24</xdr:col>
                    <xdr:colOff>12700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ack">
                <anchor moveWithCells="1" sizeWithCells="1">
                  <from>
                    <xdr:col>22</xdr:col>
                    <xdr:colOff>25400</xdr:colOff>
                    <xdr:row>6</xdr:row>
                    <xdr:rowOff>12700</xdr:rowOff>
                  </from>
                  <to>
                    <xdr:col>22</xdr:col>
                    <xdr:colOff>406400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ront">
                <anchor moveWithCells="1" sizeWithCells="1">
                  <from>
                    <xdr:col>24</xdr:col>
                    <xdr:colOff>12700</xdr:colOff>
                    <xdr:row>6</xdr:row>
                    <xdr:rowOff>38100</xdr:rowOff>
                  </from>
                  <to>
                    <xdr:col>24</xdr:col>
                    <xdr:colOff>419100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PitchUp">
                <anchor moveWithCells="1" sizeWithCells="1">
                  <from>
                    <xdr:col>22</xdr:col>
                    <xdr:colOff>12700</xdr:colOff>
                    <xdr:row>9</xdr:row>
                    <xdr:rowOff>12700</xdr:rowOff>
                  </from>
                  <to>
                    <xdr:col>22</xdr:col>
                    <xdr:colOff>406400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itchDown">
                <anchor moveWithCells="1" sizeWithCells="1">
                  <from>
                    <xdr:col>22</xdr:col>
                    <xdr:colOff>12700</xdr:colOff>
                    <xdr:row>11</xdr:row>
                    <xdr:rowOff>25400</xdr:rowOff>
                  </from>
                  <to>
                    <xdr:col>22</xdr:col>
                    <xdr:colOff>406400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YawLeft">
                <anchor moveWithCells="1" sizeWithCells="1">
                  <from>
                    <xdr:col>23</xdr:col>
                    <xdr:colOff>25400</xdr:colOff>
                    <xdr:row>9</xdr:row>
                    <xdr:rowOff>38100</xdr:rowOff>
                  </from>
                  <to>
                    <xdr:col>23</xdr:col>
                    <xdr:colOff>393700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YawRight">
                <anchor moveWithCells="1" sizeWithCells="1">
                  <from>
                    <xdr:col>24</xdr:col>
                    <xdr:colOff>12700</xdr:colOff>
                    <xdr:row>9</xdr:row>
                    <xdr:rowOff>38100</xdr:rowOff>
                  </from>
                  <to>
                    <xdr:col>24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RollLeft">
                <anchor moveWithCells="1" sizeWithCells="1">
                  <from>
                    <xdr:col>22</xdr:col>
                    <xdr:colOff>419100</xdr:colOff>
                    <xdr:row>11</xdr:row>
                    <xdr:rowOff>25400</xdr:rowOff>
                  </from>
                  <to>
                    <xdr:col>23</xdr:col>
                    <xdr:colOff>419100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RollRight">
                <anchor moveWithCells="1" sizeWithCells="1">
                  <from>
                    <xdr:col>24</xdr:col>
                    <xdr:colOff>12700</xdr:colOff>
                    <xdr:row>11</xdr:row>
                    <xdr:rowOff>0</xdr:rowOff>
                  </from>
                  <to>
                    <xdr:col>24</xdr:col>
                    <xdr:colOff>381000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FovIn">
                <anchor moveWithCells="1" sizeWithCells="1">
                  <from>
                    <xdr:col>22</xdr:col>
                    <xdr:colOff>12700</xdr:colOff>
                    <xdr:row>13</xdr:row>
                    <xdr:rowOff>63500</xdr:rowOff>
                  </from>
                  <to>
                    <xdr:col>23</xdr:col>
                    <xdr:colOff>254000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FovOut">
                <anchor moveWithCells="1" sizeWithCells="1">
                  <from>
                    <xdr:col>23</xdr:col>
                    <xdr:colOff>292100</xdr:colOff>
                    <xdr:row>13</xdr:row>
                    <xdr:rowOff>38100</xdr:rowOff>
                  </from>
                  <to>
                    <xdr:col>24</xdr:col>
                    <xdr:colOff>393700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UpO">
                <anchor moveWithCells="1" sizeWithCells="1">
                  <from>
                    <xdr:col>27</xdr:col>
                    <xdr:colOff>0</xdr:colOff>
                    <xdr:row>2</xdr:row>
                    <xdr:rowOff>25400</xdr:rowOff>
                  </from>
                  <to>
                    <xdr:col>28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DownO">
                <anchor moveWithCells="1" sizeWithCells="1">
                  <from>
                    <xdr:col>27</xdr:col>
                    <xdr:colOff>0</xdr:colOff>
                    <xdr:row>4</xdr:row>
                    <xdr:rowOff>38100</xdr:rowOff>
                  </from>
                  <to>
                    <xdr:col>28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 macro="[0]!LeftO">
                <anchor moveWithCells="1" sizeWithCells="1">
                  <from>
                    <xdr:col>26</xdr:col>
                    <xdr:colOff>0</xdr:colOff>
                    <xdr:row>3</xdr:row>
                    <xdr:rowOff>25400</xdr:rowOff>
                  </from>
                  <to>
                    <xdr:col>26</xdr:col>
                    <xdr:colOff>406400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 macro="[0]!RightO">
                <anchor moveWithCells="1" sizeWithCells="1">
                  <from>
                    <xdr:col>28</xdr:col>
                    <xdr:colOff>12700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BackO">
                <anchor moveWithCells="1" sizeWithCells="1">
                  <from>
                    <xdr:col>26</xdr:col>
                    <xdr:colOff>25400</xdr:colOff>
                    <xdr:row>6</xdr:row>
                    <xdr:rowOff>12700</xdr:rowOff>
                  </from>
                  <to>
                    <xdr:col>26</xdr:col>
                    <xdr:colOff>406400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FrontO">
                <anchor moveWithCells="1" sizeWithCells="1">
                  <from>
                    <xdr:col>28</xdr:col>
                    <xdr:colOff>12700</xdr:colOff>
                    <xdr:row>6</xdr:row>
                    <xdr:rowOff>38100</xdr:rowOff>
                  </from>
                  <to>
                    <xdr:col>28</xdr:col>
                    <xdr:colOff>419100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PitchUpO">
                <anchor moveWithCells="1" sizeWithCells="1">
                  <from>
                    <xdr:col>26</xdr:col>
                    <xdr:colOff>12700</xdr:colOff>
                    <xdr:row>9</xdr:row>
                    <xdr:rowOff>12700</xdr:rowOff>
                  </from>
                  <to>
                    <xdr:col>26</xdr:col>
                    <xdr:colOff>406400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PitchDownO">
                <anchor moveWithCells="1" sizeWithCells="1">
                  <from>
                    <xdr:col>26</xdr:col>
                    <xdr:colOff>12700</xdr:colOff>
                    <xdr:row>11</xdr:row>
                    <xdr:rowOff>25400</xdr:rowOff>
                  </from>
                  <to>
                    <xdr:col>26</xdr:col>
                    <xdr:colOff>406400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YawLeftO">
                <anchor moveWithCells="1" sizeWithCells="1">
                  <from>
                    <xdr:col>27</xdr:col>
                    <xdr:colOff>25400</xdr:colOff>
                    <xdr:row>9</xdr:row>
                    <xdr:rowOff>38100</xdr:rowOff>
                  </from>
                  <to>
                    <xdr:col>27</xdr:col>
                    <xdr:colOff>393700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YawRightO">
                <anchor moveWithCells="1" sizeWithCells="1">
                  <from>
                    <xdr:col>28</xdr:col>
                    <xdr:colOff>12700</xdr:colOff>
                    <xdr:row>9</xdr:row>
                    <xdr:rowOff>38100</xdr:rowOff>
                  </from>
                  <to>
                    <xdr:col>28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Button 27">
              <controlPr defaultSize="0" print="0" autoFill="0" autoPict="0" macro="[0]!RollLeftO">
                <anchor moveWithCells="1" sizeWithCells="1">
                  <from>
                    <xdr:col>26</xdr:col>
                    <xdr:colOff>419100</xdr:colOff>
                    <xdr:row>11</xdr:row>
                    <xdr:rowOff>25400</xdr:rowOff>
                  </from>
                  <to>
                    <xdr:col>27</xdr:col>
                    <xdr:colOff>419100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Button 28">
              <controlPr defaultSize="0" print="0" autoFill="0" autoPict="0" macro="[0]!RollRightO">
                <anchor moveWithCells="1" sizeWithCells="1">
                  <from>
                    <xdr:col>28</xdr:col>
                    <xdr:colOff>12700</xdr:colOff>
                    <xdr:row>11</xdr:row>
                    <xdr:rowOff>0</xdr:rowOff>
                  </from>
                  <to>
                    <xdr:col>28</xdr:col>
                    <xdr:colOff>381000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0" name="Button 45">
              <controlPr defaultSize="0" print="0" autoFill="0" autoPict="0" macro="[0]!SCxUp">
                <anchor moveWithCells="1" sizeWithCells="1">
                  <from>
                    <xdr:col>26</xdr:col>
                    <xdr:colOff>0</xdr:colOff>
                    <xdr:row>13</xdr:row>
                    <xdr:rowOff>25400</xdr:rowOff>
                  </from>
                  <to>
                    <xdr:col>26</xdr:col>
                    <xdr:colOff>393700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1" name="Button 46">
              <controlPr defaultSize="0" print="0" autoFill="0" autoPict="0" macro="[0]!ScyUp">
                <anchor moveWithCells="1" sizeWithCells="1">
                  <from>
                    <xdr:col>27</xdr:col>
                    <xdr:colOff>12700</xdr:colOff>
                    <xdr:row>13</xdr:row>
                    <xdr:rowOff>12700</xdr:rowOff>
                  </from>
                  <to>
                    <xdr:col>28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2" name="Button 47">
              <controlPr defaultSize="0" print="0" autoFill="0" autoPict="0" macro="[0]!SCzUp">
                <anchor moveWithCells="1" sizeWithCells="1">
                  <from>
                    <xdr:col>28</xdr:col>
                    <xdr:colOff>25400</xdr:colOff>
                    <xdr:row>13</xdr:row>
                    <xdr:rowOff>12700</xdr:rowOff>
                  </from>
                  <to>
                    <xdr:col>28</xdr:col>
                    <xdr:colOff>406400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3" name="Button 48">
              <controlPr defaultSize="0" print="0" autoFill="0" autoPict="0" macro="[0]!SCxDown">
                <anchor moveWithCells="1" sizeWithCells="1">
                  <from>
                    <xdr:col>26</xdr:col>
                    <xdr:colOff>0</xdr:colOff>
                    <xdr:row>15</xdr:row>
                    <xdr:rowOff>25400</xdr:rowOff>
                  </from>
                  <to>
                    <xdr:col>26</xdr:col>
                    <xdr:colOff>393700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4" name="Button 49">
              <controlPr defaultSize="0" print="0" autoFill="0" autoPict="0" macro="[0]!ScyDown">
                <anchor moveWithCells="1" sizeWithCells="1">
                  <from>
                    <xdr:col>27</xdr:col>
                    <xdr:colOff>0</xdr:colOff>
                    <xdr:row>15</xdr:row>
                    <xdr:rowOff>12700</xdr:rowOff>
                  </from>
                  <to>
                    <xdr:col>27</xdr:col>
                    <xdr:colOff>419100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5" name="Button 50">
              <controlPr defaultSize="0" print="0" autoFill="0" autoPict="0" macro="[0]!SCzDown">
                <anchor moveWithCells="1" sizeWithCells="1">
                  <from>
                    <xdr:col>28</xdr:col>
                    <xdr:colOff>25400</xdr:colOff>
                    <xdr:row>15</xdr:row>
                    <xdr:rowOff>12700</xdr:rowOff>
                  </from>
                  <to>
                    <xdr:col>28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N176"/>
  <sheetViews>
    <sheetView zoomScale="110" zoomScaleNormal="110" zoomScalePageLayoutView="120" workbookViewId="0">
      <selection activeCell="D45" sqref="D45"/>
    </sheetView>
  </sheetViews>
  <sheetFormatPr baseColWidth="10" defaultRowHeight="16"/>
  <cols>
    <col min="1" max="1" width="5.33203125" customWidth="1"/>
    <col min="3" max="5" width="7.6640625" customWidth="1"/>
    <col min="6" max="30" width="5.6640625" customWidth="1"/>
    <col min="31" max="31" width="7" customWidth="1"/>
    <col min="32" max="35" width="5.6640625" customWidth="1"/>
    <col min="36" max="40" width="6.1640625" customWidth="1"/>
  </cols>
  <sheetData>
    <row r="1" spans="1:31">
      <c r="X1">
        <v>0</v>
      </c>
      <c r="Z1" s="60">
        <v>0.46524305555555556</v>
      </c>
      <c r="AA1" s="60"/>
    </row>
    <row r="2" spans="1:31" ht="31">
      <c r="C2" s="28" t="s">
        <v>39</v>
      </c>
      <c r="W2" s="32" t="s">
        <v>48</v>
      </c>
      <c r="AA2" s="32" t="s">
        <v>207</v>
      </c>
      <c r="AC2">
        <v>1</v>
      </c>
    </row>
    <row r="4" spans="1:31">
      <c r="C4" t="s">
        <v>1</v>
      </c>
      <c r="D4" t="s">
        <v>2</v>
      </c>
    </row>
    <row r="5" spans="1:31">
      <c r="B5" t="s">
        <v>0</v>
      </c>
      <c r="C5" s="1">
        <v>960</v>
      </c>
      <c r="D5" s="2">
        <v>540</v>
      </c>
    </row>
    <row r="8" spans="1:31">
      <c r="AE8" s="37"/>
    </row>
    <row r="11" spans="1:31">
      <c r="A11" s="36"/>
      <c r="B11" t="s">
        <v>3</v>
      </c>
      <c r="C11" t="s">
        <v>4</v>
      </c>
      <c r="D11" t="s">
        <v>6</v>
      </c>
    </row>
    <row r="12" spans="1:31">
      <c r="C12" s="1">
        <v>90</v>
      </c>
      <c r="D12" s="2">
        <v>1.25</v>
      </c>
      <c r="F12" t="s">
        <v>9</v>
      </c>
      <c r="G12" s="8">
        <f>1/TAN(RADIANS(C12)/2)/D12</f>
        <v>0.8</v>
      </c>
      <c r="H12" s="4">
        <v>0</v>
      </c>
      <c r="I12" s="4">
        <v>0</v>
      </c>
      <c r="J12" s="4">
        <v>0</v>
      </c>
    </row>
    <row r="13" spans="1:31">
      <c r="C13" t="s">
        <v>7</v>
      </c>
      <c r="D13" t="s">
        <v>8</v>
      </c>
      <c r="G13" s="4">
        <v>0</v>
      </c>
      <c r="H13" s="9">
        <f>1/TAN(RADIANS(C12)/2)</f>
        <v>1</v>
      </c>
      <c r="I13" s="4">
        <v>0</v>
      </c>
      <c r="J13" s="4">
        <v>0</v>
      </c>
    </row>
    <row r="14" spans="1:31">
      <c r="C14" s="6">
        <v>0.5</v>
      </c>
      <c r="D14" s="7">
        <v>9.5</v>
      </c>
      <c r="G14" s="4">
        <v>0</v>
      </c>
      <c r="H14" s="4">
        <v>0</v>
      </c>
      <c r="I14" s="10">
        <f>(C14+D14)/(C14-D14)</f>
        <v>-1.1111111111111112</v>
      </c>
      <c r="J14" s="11">
        <f>2*C14*D14/(C14-D14)</f>
        <v>-1.0555555555555556</v>
      </c>
    </row>
    <row r="15" spans="1:31">
      <c r="G15" s="4">
        <v>0</v>
      </c>
      <c r="H15" s="4">
        <v>0</v>
      </c>
      <c r="I15" s="4">
        <v>-1</v>
      </c>
      <c r="J15" s="4">
        <v>0</v>
      </c>
    </row>
    <row r="18" spans="2:35">
      <c r="B18" t="s">
        <v>10</v>
      </c>
      <c r="C18" t="s">
        <v>11</v>
      </c>
      <c r="D18" t="s">
        <v>12</v>
      </c>
      <c r="E18" t="s">
        <v>13</v>
      </c>
    </row>
    <row r="19" spans="2:35">
      <c r="C19" s="3">
        <v>1.5</v>
      </c>
      <c r="D19" s="13">
        <v>3</v>
      </c>
      <c r="E19" s="5">
        <v>2.5</v>
      </c>
      <c r="F19" t="s">
        <v>17</v>
      </c>
      <c r="G19" s="20">
        <f t="array" ref="G19:J22">MMULT(L19:O22, MMULT(Q19:T22,MMULT(V19:Y22,AA19:AD22)))</f>
        <v>0.86602540378443871</v>
      </c>
      <c r="H19" s="20">
        <v>0</v>
      </c>
      <c r="I19" s="20">
        <v>0.49999999999999994</v>
      </c>
      <c r="J19" s="21">
        <v>-2.549038105676658</v>
      </c>
      <c r="K19" t="s">
        <v>18</v>
      </c>
      <c r="L19" s="18">
        <f>COS(-RADIANS(E21))</f>
        <v>1</v>
      </c>
      <c r="M19" s="18">
        <f>-SIN(-RADIANS(E21))</f>
        <v>0</v>
      </c>
      <c r="N19" s="19">
        <v>0</v>
      </c>
      <c r="O19" s="19">
        <v>0</v>
      </c>
      <c r="P19" t="s">
        <v>19</v>
      </c>
      <c r="Q19" s="16">
        <v>1</v>
      </c>
      <c r="R19" s="16">
        <v>0</v>
      </c>
      <c r="S19" s="16">
        <v>0</v>
      </c>
      <c r="T19" s="16">
        <v>0</v>
      </c>
      <c r="U19" t="s">
        <v>20</v>
      </c>
      <c r="V19" s="14">
        <f>COS(-RADIANS(C21))</f>
        <v>0.86602540378443871</v>
      </c>
      <c r="W19" s="15">
        <v>0</v>
      </c>
      <c r="X19" s="14">
        <f>SIN(-RADIANS(C21))</f>
        <v>0.49999999999999994</v>
      </c>
      <c r="Y19" s="15">
        <v>0</v>
      </c>
      <c r="Z19" t="s">
        <v>21</v>
      </c>
      <c r="AA19" s="12">
        <v>1</v>
      </c>
      <c r="AB19" s="12">
        <v>0</v>
      </c>
      <c r="AC19" s="12">
        <v>0</v>
      </c>
      <c r="AD19" s="3">
        <f>-C19</f>
        <v>-1.5</v>
      </c>
    </row>
    <row r="20" spans="2:35">
      <c r="C20" t="s">
        <v>14</v>
      </c>
      <c r="D20" t="s">
        <v>15</v>
      </c>
      <c r="E20" t="s">
        <v>16</v>
      </c>
      <c r="G20" s="20">
        <v>0.43301270189221924</v>
      </c>
      <c r="H20" s="20">
        <v>0.50000000000000011</v>
      </c>
      <c r="I20" s="20">
        <v>-0.75</v>
      </c>
      <c r="J20" s="21">
        <v>-0.27451905283832922</v>
      </c>
      <c r="L20" s="18">
        <f>SIN(-RADIANS(E21))</f>
        <v>0</v>
      </c>
      <c r="M20" s="18">
        <f>COS(-RADIANS(E21))</f>
        <v>1</v>
      </c>
      <c r="N20" s="19">
        <v>0</v>
      </c>
      <c r="O20" s="19">
        <v>0</v>
      </c>
      <c r="Q20" s="16">
        <v>0</v>
      </c>
      <c r="R20" s="18">
        <f>COS(-RADIANS(D21))</f>
        <v>0.50000000000000011</v>
      </c>
      <c r="S20" s="18">
        <f>-SIN(-RADIANS(D21))</f>
        <v>-0.8660254037844386</v>
      </c>
      <c r="T20" s="16">
        <v>0</v>
      </c>
      <c r="V20" s="15">
        <v>0</v>
      </c>
      <c r="W20" s="15">
        <v>1</v>
      </c>
      <c r="X20" s="15">
        <v>0</v>
      </c>
      <c r="Y20" s="15">
        <v>0</v>
      </c>
      <c r="AA20" s="12">
        <v>0</v>
      </c>
      <c r="AB20" s="12">
        <v>1</v>
      </c>
      <c r="AC20" s="12">
        <v>0</v>
      </c>
      <c r="AD20" s="13">
        <f>-D19</f>
        <v>-3</v>
      </c>
    </row>
    <row r="21" spans="2:35">
      <c r="C21" s="14">
        <v>-30</v>
      </c>
      <c r="D21" s="17">
        <v>-60</v>
      </c>
      <c r="E21" s="18">
        <v>0</v>
      </c>
      <c r="G21" s="20">
        <v>-0.25</v>
      </c>
      <c r="H21" s="20">
        <v>0.8660254037844386</v>
      </c>
      <c r="I21" s="20">
        <v>0.43301270189221946</v>
      </c>
      <c r="J21" s="21">
        <v>-3.3056079660838646</v>
      </c>
      <c r="L21" s="19">
        <v>0</v>
      </c>
      <c r="M21" s="19">
        <v>0</v>
      </c>
      <c r="N21" s="19">
        <v>1</v>
      </c>
      <c r="O21" s="19">
        <v>0</v>
      </c>
      <c r="Q21" s="16">
        <v>0</v>
      </c>
      <c r="R21" s="18">
        <f>SIN(-RADIANS(D21))</f>
        <v>0.8660254037844386</v>
      </c>
      <c r="S21" s="18">
        <f>COS(-RADIANS(D21))</f>
        <v>0.50000000000000011</v>
      </c>
      <c r="T21" s="16">
        <v>0</v>
      </c>
      <c r="V21" s="14">
        <f>-SIN(-RADIANS(C21))</f>
        <v>-0.49999999999999994</v>
      </c>
      <c r="W21" s="15">
        <v>0</v>
      </c>
      <c r="X21" s="14">
        <f>COS(-RADIANS(C21))</f>
        <v>0.86602540378443871</v>
      </c>
      <c r="Y21" s="15">
        <v>0</v>
      </c>
      <c r="AA21" s="12">
        <v>0</v>
      </c>
      <c r="AB21" s="12">
        <v>0</v>
      </c>
      <c r="AC21" s="12">
        <v>1</v>
      </c>
      <c r="AD21" s="5">
        <f>-E19</f>
        <v>-2.5</v>
      </c>
    </row>
    <row r="22" spans="2:35">
      <c r="C22" t="s">
        <v>25</v>
      </c>
      <c r="D22" t="s">
        <v>24</v>
      </c>
      <c r="E22" t="s">
        <v>23</v>
      </c>
      <c r="G22" s="4">
        <v>0</v>
      </c>
      <c r="H22" s="4">
        <v>0</v>
      </c>
      <c r="I22" s="4">
        <v>0</v>
      </c>
      <c r="J22" s="4">
        <v>1</v>
      </c>
      <c r="L22" s="19">
        <v>0</v>
      </c>
      <c r="M22" s="19">
        <v>0</v>
      </c>
      <c r="N22" s="19">
        <v>0</v>
      </c>
      <c r="O22" s="19">
        <v>1</v>
      </c>
      <c r="Q22" s="16">
        <v>0</v>
      </c>
      <c r="R22" s="16">
        <v>0</v>
      </c>
      <c r="S22" s="16">
        <v>0</v>
      </c>
      <c r="T22" s="16">
        <v>1</v>
      </c>
      <c r="V22" s="15">
        <v>0</v>
      </c>
      <c r="W22" s="15">
        <v>0</v>
      </c>
      <c r="X22" s="15">
        <v>0</v>
      </c>
      <c r="Y22" s="15">
        <v>1</v>
      </c>
      <c r="AA22" s="12">
        <v>0</v>
      </c>
      <c r="AB22" s="12">
        <v>0</v>
      </c>
      <c r="AC22" s="12">
        <v>0</v>
      </c>
      <c r="AD22" s="12">
        <v>1</v>
      </c>
    </row>
    <row r="25" spans="2:35">
      <c r="B25" t="s">
        <v>22</v>
      </c>
      <c r="C25" t="s">
        <v>26</v>
      </c>
      <c r="D25" t="s">
        <v>27</v>
      </c>
      <c r="E25" t="s">
        <v>28</v>
      </c>
    </row>
    <row r="26" spans="2:35">
      <c r="C26" s="3">
        <v>3</v>
      </c>
      <c r="D26" s="13">
        <v>-2.5</v>
      </c>
      <c r="E26" s="5">
        <v>-2</v>
      </c>
      <c r="F26" t="s">
        <v>33</v>
      </c>
      <c r="G26" s="20">
        <f t="array" ref="G26:J29">MMULT(L26:O29, MMULT(Q26:T29,MMULT(V26:Y29,MMULT(AA26:AD29,AF26:AI29))))</f>
        <v>-0.69259084665035342</v>
      </c>
      <c r="H26" s="20">
        <v>-0.14726657901261353</v>
      </c>
      <c r="I26" s="20">
        <v>0.70613771591812613</v>
      </c>
      <c r="J26" s="21">
        <v>3</v>
      </c>
      <c r="K26" t="s">
        <v>21</v>
      </c>
      <c r="L26" s="12">
        <v>1</v>
      </c>
      <c r="M26" s="12">
        <v>0</v>
      </c>
      <c r="N26" s="12">
        <v>0</v>
      </c>
      <c r="O26" s="3">
        <f>C26</f>
        <v>3</v>
      </c>
      <c r="P26" t="s">
        <v>20</v>
      </c>
      <c r="Q26" s="14">
        <f>COS(RADIANS(C28))</f>
        <v>0.70710678118654757</v>
      </c>
      <c r="R26" s="15">
        <v>0</v>
      </c>
      <c r="S26" s="14">
        <f>SIN(RADIANS(C28))</f>
        <v>-0.70710678118654746</v>
      </c>
      <c r="T26" s="15">
        <v>0</v>
      </c>
      <c r="U26" t="s">
        <v>19</v>
      </c>
      <c r="V26" s="16">
        <v>1</v>
      </c>
      <c r="W26" s="16">
        <v>0</v>
      </c>
      <c r="X26" s="16">
        <v>0</v>
      </c>
      <c r="Y26" s="16">
        <v>0</v>
      </c>
      <c r="Z26" t="s">
        <v>18</v>
      </c>
      <c r="AA26" s="18">
        <f>COS(RADIANS(E28))</f>
        <v>-0.9659258262890682</v>
      </c>
      <c r="AB26" s="18">
        <f>SIN(RADIANS(E28))</f>
        <v>-0.25881904510252102</v>
      </c>
      <c r="AC26" s="19">
        <v>0</v>
      </c>
      <c r="AD26" s="19">
        <v>0</v>
      </c>
      <c r="AE26" t="s">
        <v>32</v>
      </c>
      <c r="AF26" s="20">
        <f>C30</f>
        <v>1</v>
      </c>
      <c r="AG26" s="22">
        <v>0</v>
      </c>
      <c r="AH26" s="22">
        <v>0</v>
      </c>
      <c r="AI26" s="22">
        <v>0</v>
      </c>
    </row>
    <row r="27" spans="2:35">
      <c r="C27" t="s">
        <v>25</v>
      </c>
      <c r="D27" t="s">
        <v>24</v>
      </c>
      <c r="E27" t="s">
        <v>23</v>
      </c>
      <c r="G27" s="20">
        <v>-0.25846434259635365</v>
      </c>
      <c r="H27" s="20">
        <v>0.96460205851447944</v>
      </c>
      <c r="I27" s="20">
        <v>-5.2335956242943807E-2</v>
      </c>
      <c r="J27" s="21">
        <v>-2.5</v>
      </c>
      <c r="L27" s="12">
        <v>0</v>
      </c>
      <c r="M27" s="12">
        <v>1</v>
      </c>
      <c r="N27" s="12">
        <v>0</v>
      </c>
      <c r="O27" s="13">
        <f>D26</f>
        <v>-2.5</v>
      </c>
      <c r="Q27" s="15">
        <v>0</v>
      </c>
      <c r="R27" s="15">
        <v>1</v>
      </c>
      <c r="S27" s="15">
        <v>0</v>
      </c>
      <c r="T27" s="15">
        <v>0</v>
      </c>
      <c r="V27" s="16">
        <v>0</v>
      </c>
      <c r="W27" s="18">
        <f>COS(RADIANS(D28))</f>
        <v>-0.99862953475457383</v>
      </c>
      <c r="X27" s="18">
        <f>-SIN(RADIANS(D28))</f>
        <v>-5.2335956242943807E-2</v>
      </c>
      <c r="Y27" s="16">
        <v>0</v>
      </c>
      <c r="AA27" s="18">
        <f>-SIN(RADIANS(E28))</f>
        <v>0.25881904510252102</v>
      </c>
      <c r="AB27" s="18">
        <f>COS(RADIANS(E28))</f>
        <v>-0.9659258262890682</v>
      </c>
      <c r="AC27" s="19">
        <v>0</v>
      </c>
      <c r="AD27" s="19">
        <v>0</v>
      </c>
      <c r="AF27" s="22">
        <v>0</v>
      </c>
      <c r="AG27" s="21">
        <f>D30</f>
        <v>1</v>
      </c>
      <c r="AH27" s="22">
        <v>0</v>
      </c>
      <c r="AI27" s="22">
        <v>0</v>
      </c>
    </row>
    <row r="28" spans="2:35">
      <c r="C28" s="14">
        <v>-45</v>
      </c>
      <c r="D28" s="17">
        <v>177</v>
      </c>
      <c r="E28" s="18">
        <v>-165</v>
      </c>
      <c r="G28" s="20">
        <v>-0.67343455713408507</v>
      </c>
      <c r="H28" s="20">
        <v>-0.21875882477182551</v>
      </c>
      <c r="I28" s="20">
        <v>-0.70613771591812624</v>
      </c>
      <c r="J28" s="21">
        <v>-2</v>
      </c>
      <c r="L28" s="12">
        <v>0</v>
      </c>
      <c r="M28" s="12">
        <v>0</v>
      </c>
      <c r="N28" s="12">
        <v>1</v>
      </c>
      <c r="O28" s="5">
        <f>E26</f>
        <v>-2</v>
      </c>
      <c r="Q28" s="14">
        <f>-SIN(RADIANS(C28))</f>
        <v>0.70710678118654746</v>
      </c>
      <c r="R28" s="15">
        <v>0</v>
      </c>
      <c r="S28" s="14">
        <f>COS(RADIANS(C28))</f>
        <v>0.70710678118654757</v>
      </c>
      <c r="T28" s="15">
        <v>0</v>
      </c>
      <c r="V28" s="16">
        <v>0</v>
      </c>
      <c r="W28" s="18">
        <f>SIN(RADIANS(D28))</f>
        <v>5.2335956242943807E-2</v>
      </c>
      <c r="X28" s="18">
        <f>COS(RADIANS(D28))</f>
        <v>-0.99862953475457383</v>
      </c>
      <c r="Y28" s="16">
        <v>0</v>
      </c>
      <c r="AA28" s="19">
        <v>0</v>
      </c>
      <c r="AB28" s="19">
        <v>0</v>
      </c>
      <c r="AC28" s="19">
        <v>1</v>
      </c>
      <c r="AD28" s="19">
        <v>0</v>
      </c>
      <c r="AF28" s="22">
        <v>0</v>
      </c>
      <c r="AG28" s="22">
        <v>0</v>
      </c>
      <c r="AH28" s="23">
        <f>E30</f>
        <v>1</v>
      </c>
      <c r="AI28" s="22">
        <v>0</v>
      </c>
    </row>
    <row r="29" spans="2:35">
      <c r="C29" t="s">
        <v>29</v>
      </c>
      <c r="D29" t="s">
        <v>30</v>
      </c>
      <c r="E29" t="s">
        <v>31</v>
      </c>
      <c r="G29" s="4">
        <v>0</v>
      </c>
      <c r="H29" s="4">
        <v>0</v>
      </c>
      <c r="I29" s="4">
        <v>0</v>
      </c>
      <c r="J29" s="4">
        <v>1</v>
      </c>
      <c r="L29" s="12">
        <v>0</v>
      </c>
      <c r="M29" s="12">
        <v>0</v>
      </c>
      <c r="N29" s="12">
        <v>0</v>
      </c>
      <c r="O29" s="12">
        <v>1</v>
      </c>
      <c r="Q29" s="15">
        <v>0</v>
      </c>
      <c r="R29" s="15">
        <v>0</v>
      </c>
      <c r="S29" s="15">
        <v>0</v>
      </c>
      <c r="T29" s="15">
        <v>1</v>
      </c>
      <c r="V29" s="16">
        <v>0</v>
      </c>
      <c r="W29" s="16">
        <v>0</v>
      </c>
      <c r="X29" s="16">
        <v>0</v>
      </c>
      <c r="Y29" s="16">
        <v>1</v>
      </c>
      <c r="AA29" s="19">
        <v>0</v>
      </c>
      <c r="AB29" s="19">
        <v>0</v>
      </c>
      <c r="AC29" s="19">
        <v>0</v>
      </c>
      <c r="AD29" s="19">
        <v>1</v>
      </c>
      <c r="AF29" s="22">
        <v>0</v>
      </c>
      <c r="AG29" s="22">
        <v>0</v>
      </c>
      <c r="AH29" s="22">
        <v>0</v>
      </c>
      <c r="AI29" s="22">
        <v>1</v>
      </c>
    </row>
    <row r="30" spans="2:35">
      <c r="C30" s="20">
        <v>1</v>
      </c>
      <c r="D30" s="21">
        <v>1</v>
      </c>
      <c r="E30" s="23">
        <v>1</v>
      </c>
    </row>
    <row r="33" spans="2:40">
      <c r="B33" t="s">
        <v>38</v>
      </c>
      <c r="E33" s="27">
        <f t="array" ref="E33:H36">MMULT(G12:J15,MMULT(G19:J22,G26:J29))</f>
        <v>-0.74921483695585689</v>
      </c>
      <c r="F33" s="27">
        <v>-0.18953280875141149</v>
      </c>
      <c r="G33" s="27">
        <v>0.20677147407708274</v>
      </c>
      <c r="H33" s="27">
        <v>-0.76076951545867366</v>
      </c>
    </row>
    <row r="34" spans="2:40">
      <c r="E34" s="27">
        <v>7.5943112738497742E-2</v>
      </c>
      <c r="F34" s="27">
        <v>0.5826018485594332</v>
      </c>
      <c r="G34" s="27">
        <v>0.80920190909483092</v>
      </c>
      <c r="H34" s="27">
        <v>1.2745190528383283</v>
      </c>
    </row>
    <row r="35" spans="2:40">
      <c r="E35" s="27">
        <v>0.38032743570057631</v>
      </c>
      <c r="F35" s="27">
        <v>-0.86384575799137919</v>
      </c>
      <c r="G35" s="27">
        <v>0.58625032988331105</v>
      </c>
      <c r="H35" s="27">
        <v>6.8185520881437789</v>
      </c>
    </row>
    <row r="36" spans="2:40">
      <c r="E36" s="27">
        <v>0.34229469213051866</v>
      </c>
      <c r="F36" s="27">
        <v>-0.77746118219224125</v>
      </c>
      <c r="G36" s="27">
        <v>0.52762529689497994</v>
      </c>
      <c r="H36" s="27">
        <v>7.0866968793294003</v>
      </c>
    </row>
    <row r="39" spans="2:40">
      <c r="B39" t="s">
        <v>34</v>
      </c>
      <c r="D39" s="24">
        <v>1</v>
      </c>
      <c r="E39" s="25">
        <v>2</v>
      </c>
      <c r="F39" s="24">
        <v>3</v>
      </c>
      <c r="G39" s="25">
        <v>4</v>
      </c>
      <c r="H39" s="24">
        <v>5</v>
      </c>
      <c r="I39" s="25">
        <v>6</v>
      </c>
      <c r="J39" s="24">
        <v>7</v>
      </c>
      <c r="K39" s="25">
        <v>8</v>
      </c>
      <c r="L39" s="24">
        <v>9</v>
      </c>
      <c r="M39" s="25">
        <v>10</v>
      </c>
      <c r="N39" s="24">
        <v>11</v>
      </c>
      <c r="O39" s="25">
        <v>12</v>
      </c>
      <c r="P39" s="24">
        <v>13</v>
      </c>
      <c r="Q39" s="25">
        <v>14</v>
      </c>
      <c r="R39" s="24">
        <v>15</v>
      </c>
      <c r="S39" s="25">
        <v>16</v>
      </c>
      <c r="T39" s="24">
        <v>17</v>
      </c>
      <c r="U39" s="25">
        <v>18</v>
      </c>
      <c r="V39" s="24">
        <v>19</v>
      </c>
      <c r="W39" s="25">
        <v>20</v>
      </c>
      <c r="X39" s="24">
        <v>21</v>
      </c>
      <c r="Y39" s="25">
        <v>22</v>
      </c>
      <c r="Z39" s="24">
        <v>23</v>
      </c>
      <c r="AA39" s="25">
        <v>24</v>
      </c>
      <c r="AB39" s="24">
        <v>25</v>
      </c>
      <c r="AC39" s="25">
        <v>26</v>
      </c>
      <c r="AD39" s="24">
        <v>27</v>
      </c>
      <c r="AE39" s="25">
        <v>28</v>
      </c>
      <c r="AF39" s="24">
        <v>29</v>
      </c>
      <c r="AG39" s="25">
        <v>30</v>
      </c>
      <c r="AH39" s="24">
        <v>31</v>
      </c>
      <c r="AI39" s="25">
        <v>32</v>
      </c>
      <c r="AJ39" s="24">
        <v>33</v>
      </c>
      <c r="AK39" s="25">
        <v>34</v>
      </c>
      <c r="AL39" s="24">
        <v>35</v>
      </c>
      <c r="AM39" s="25">
        <v>36</v>
      </c>
      <c r="AN39" s="24">
        <v>37</v>
      </c>
    </row>
    <row r="40" spans="2:40">
      <c r="D40">
        <f ca="1">IF(D39&lt;=INDIRECT("ShipsInfo!C"&amp;$AC$2),INDIRECT("ShipsVE!"&amp;ADDRESS($AC$2*6-4,D$39*3-2))/20,"")</f>
        <v>-1.4</v>
      </c>
      <c r="E40">
        <f t="shared" ref="E40:AN40" ca="1" si="0">IF(E39&lt;=INDIRECT("ShipsInfo!C"&amp;$AC$2),INDIRECT("ShipsVE!"&amp;ADDRESS($AC$2*6-4,E$39*3-2))/20,"")</f>
        <v>1.4</v>
      </c>
      <c r="F40">
        <f t="shared" ca="1" si="0"/>
        <v>1.4</v>
      </c>
      <c r="G40">
        <f t="shared" ca="1" si="0"/>
        <v>-1.4</v>
      </c>
      <c r="H40">
        <f t="shared" ca="1" si="0"/>
        <v>-1.4</v>
      </c>
      <c r="I40">
        <f t="shared" ca="1" si="0"/>
        <v>1.4</v>
      </c>
      <c r="J40">
        <f t="shared" ca="1" si="0"/>
        <v>1.4</v>
      </c>
      <c r="K40">
        <f t="shared" ca="1" si="0"/>
        <v>-1.4</v>
      </c>
      <c r="L40" t="str">
        <f t="shared" ca="1" si="0"/>
        <v/>
      </c>
      <c r="M40" t="str">
        <f t="shared" ca="1" si="0"/>
        <v/>
      </c>
      <c r="N40" t="str">
        <f t="shared" ca="1" si="0"/>
        <v/>
      </c>
      <c r="O40" t="str">
        <f t="shared" ca="1" si="0"/>
        <v/>
      </c>
      <c r="P40" t="str">
        <f t="shared" ca="1" si="0"/>
        <v/>
      </c>
      <c r="Q40" t="str">
        <f t="shared" ca="1" si="0"/>
        <v/>
      </c>
      <c r="R40" t="str">
        <f t="shared" ca="1" si="0"/>
        <v/>
      </c>
      <c r="S40" t="str">
        <f t="shared" ca="1" si="0"/>
        <v/>
      </c>
      <c r="T40" t="str">
        <f t="shared" ca="1" si="0"/>
        <v/>
      </c>
      <c r="U40" t="str">
        <f t="shared" ca="1" si="0"/>
        <v/>
      </c>
      <c r="V40" t="str">
        <f t="shared" ca="1" si="0"/>
        <v/>
      </c>
      <c r="W40" t="str">
        <f t="shared" ca="1" si="0"/>
        <v/>
      </c>
      <c r="X40" t="str">
        <f t="shared" ca="1" si="0"/>
        <v/>
      </c>
      <c r="Y40" t="str">
        <f t="shared" ca="1" si="0"/>
        <v/>
      </c>
      <c r="Z40" t="str">
        <f t="shared" ca="1" si="0"/>
        <v/>
      </c>
      <c r="AA40" t="str">
        <f t="shared" ca="1" si="0"/>
        <v/>
      </c>
      <c r="AB40" t="str">
        <f t="shared" ca="1" si="0"/>
        <v/>
      </c>
      <c r="AC40" t="str">
        <f t="shared" ca="1" si="0"/>
        <v/>
      </c>
      <c r="AD40" t="str">
        <f t="shared" ca="1" si="0"/>
        <v/>
      </c>
      <c r="AE40" t="str">
        <f t="shared" ca="1" si="0"/>
        <v/>
      </c>
      <c r="AF40" t="str">
        <f t="shared" ca="1" si="0"/>
        <v/>
      </c>
      <c r="AG40" t="str">
        <f t="shared" ca="1" si="0"/>
        <v/>
      </c>
      <c r="AH40" t="str">
        <f t="shared" ca="1" si="0"/>
        <v/>
      </c>
      <c r="AI40" t="str">
        <f t="shared" ca="1" si="0"/>
        <v/>
      </c>
      <c r="AJ40" t="str">
        <f t="shared" ca="1" si="0"/>
        <v/>
      </c>
      <c r="AK40" t="str">
        <f t="shared" ca="1" si="0"/>
        <v/>
      </c>
      <c r="AL40" t="str">
        <f t="shared" ca="1" si="0"/>
        <v/>
      </c>
      <c r="AM40" t="str">
        <f t="shared" ca="1" si="0"/>
        <v/>
      </c>
      <c r="AN40" t="str">
        <f t="shared" ca="1" si="0"/>
        <v/>
      </c>
    </row>
    <row r="41" spans="2:40">
      <c r="D41">
        <f ca="1">IF(D39&lt;=INDIRECT("ShipsInfo!C"&amp;$AC$2),INDIRECT("ShipsVE!"&amp;ADDRESS($AC$2*6-4,D$39*3-1))/20,"")</f>
        <v>-1.4</v>
      </c>
      <c r="E41">
        <f t="shared" ref="E41:AN41" ca="1" si="1">IF(E39&lt;=INDIRECT("ShipsInfo!C"&amp;$AC$2),INDIRECT("ShipsVE!"&amp;ADDRESS($AC$2*6-4,E$39*3-1))/20,"")</f>
        <v>-1.4</v>
      </c>
      <c r="F41">
        <f t="shared" ca="1" si="1"/>
        <v>1.4</v>
      </c>
      <c r="G41">
        <f t="shared" ca="1" si="1"/>
        <v>1.4</v>
      </c>
      <c r="H41">
        <f t="shared" ca="1" si="1"/>
        <v>-1.4</v>
      </c>
      <c r="I41">
        <f t="shared" ca="1" si="1"/>
        <v>-1.4</v>
      </c>
      <c r="J41">
        <f t="shared" ca="1" si="1"/>
        <v>1.4</v>
      </c>
      <c r="K41">
        <f t="shared" ca="1" si="1"/>
        <v>1.4</v>
      </c>
      <c r="L41" t="str">
        <f t="shared" ca="1" si="1"/>
        <v/>
      </c>
      <c r="M41" t="str">
        <f t="shared" ca="1" si="1"/>
        <v/>
      </c>
      <c r="N41" t="str">
        <f t="shared" ca="1" si="1"/>
        <v/>
      </c>
      <c r="O41" t="str">
        <f t="shared" ca="1" si="1"/>
        <v/>
      </c>
      <c r="P41" t="str">
        <f t="shared" ca="1" si="1"/>
        <v/>
      </c>
      <c r="Q41" t="str">
        <f t="shared" ca="1" si="1"/>
        <v/>
      </c>
      <c r="R41" t="str">
        <f t="shared" ca="1" si="1"/>
        <v/>
      </c>
      <c r="S41" t="str">
        <f t="shared" ca="1" si="1"/>
        <v/>
      </c>
      <c r="T41" t="str">
        <f t="shared" ca="1" si="1"/>
        <v/>
      </c>
      <c r="U41" t="str">
        <f t="shared" ca="1" si="1"/>
        <v/>
      </c>
      <c r="V41" t="str">
        <f t="shared" ca="1" si="1"/>
        <v/>
      </c>
      <c r="W41" t="str">
        <f t="shared" ca="1" si="1"/>
        <v/>
      </c>
      <c r="X41" t="str">
        <f t="shared" ca="1" si="1"/>
        <v/>
      </c>
      <c r="Y41" t="str">
        <f t="shared" ca="1" si="1"/>
        <v/>
      </c>
      <c r="Z41" t="str">
        <f t="shared" ca="1" si="1"/>
        <v/>
      </c>
      <c r="AA41" t="str">
        <f t="shared" ca="1" si="1"/>
        <v/>
      </c>
      <c r="AB41" t="str">
        <f t="shared" ca="1" si="1"/>
        <v/>
      </c>
      <c r="AC41" t="str">
        <f t="shared" ca="1" si="1"/>
        <v/>
      </c>
      <c r="AD41" t="str">
        <f t="shared" ca="1" si="1"/>
        <v/>
      </c>
      <c r="AE41" t="str">
        <f t="shared" ca="1" si="1"/>
        <v/>
      </c>
      <c r="AF41" t="str">
        <f t="shared" ca="1" si="1"/>
        <v/>
      </c>
      <c r="AG41" t="str">
        <f t="shared" ca="1" si="1"/>
        <v/>
      </c>
      <c r="AH41" t="str">
        <f t="shared" ca="1" si="1"/>
        <v/>
      </c>
      <c r="AI41" t="str">
        <f t="shared" ca="1" si="1"/>
        <v/>
      </c>
      <c r="AJ41" t="str">
        <f t="shared" ca="1" si="1"/>
        <v/>
      </c>
      <c r="AK41" t="str">
        <f t="shared" ca="1" si="1"/>
        <v/>
      </c>
      <c r="AL41" t="str">
        <f t="shared" ca="1" si="1"/>
        <v/>
      </c>
      <c r="AM41" t="str">
        <f t="shared" ca="1" si="1"/>
        <v/>
      </c>
      <c r="AN41" t="str">
        <f t="shared" ca="1" si="1"/>
        <v/>
      </c>
    </row>
    <row r="42" spans="2:40">
      <c r="D42">
        <f ca="1">IF(D39&lt;=INDIRECT("ShipsInfo!C"&amp;$AC$2),INDIRECT("ShipsVE!"&amp;ADDRESS($AC$2*6-4,D$39*3))/20,"")</f>
        <v>-1.4</v>
      </c>
      <c r="E42">
        <f t="shared" ref="E42:AN42" ca="1" si="2">IF(E39&lt;=INDIRECT("ShipsInfo!C"&amp;$AC$2),INDIRECT("ShipsVE!"&amp;ADDRESS($AC$2*6-4,E$39*3))/20,"")</f>
        <v>-1.4</v>
      </c>
      <c r="F42">
        <f t="shared" ca="1" si="2"/>
        <v>-1.4</v>
      </c>
      <c r="G42">
        <f t="shared" ca="1" si="2"/>
        <v>-1.4</v>
      </c>
      <c r="H42">
        <f t="shared" ca="1" si="2"/>
        <v>1.4</v>
      </c>
      <c r="I42">
        <f t="shared" ca="1" si="2"/>
        <v>1.4</v>
      </c>
      <c r="J42">
        <f t="shared" ca="1" si="2"/>
        <v>1.4</v>
      </c>
      <c r="K42">
        <f t="shared" ca="1" si="2"/>
        <v>1.4</v>
      </c>
      <c r="L42" t="str">
        <f t="shared" ca="1" si="2"/>
        <v/>
      </c>
      <c r="M42" t="str">
        <f t="shared" ca="1" si="2"/>
        <v/>
      </c>
      <c r="N42" t="str">
        <f t="shared" ca="1" si="2"/>
        <v/>
      </c>
      <c r="O42" t="str">
        <f t="shared" ca="1" si="2"/>
        <v/>
      </c>
      <c r="P42" t="str">
        <f t="shared" ca="1" si="2"/>
        <v/>
      </c>
      <c r="Q42" t="str">
        <f t="shared" ca="1" si="2"/>
        <v/>
      </c>
      <c r="R42" t="str">
        <f t="shared" ca="1" si="2"/>
        <v/>
      </c>
      <c r="S42" t="str">
        <f t="shared" ca="1" si="2"/>
        <v/>
      </c>
      <c r="T42" t="str">
        <f t="shared" ca="1" si="2"/>
        <v/>
      </c>
      <c r="U42" t="str">
        <f t="shared" ca="1" si="2"/>
        <v/>
      </c>
      <c r="V42" t="str">
        <f t="shared" ca="1" si="2"/>
        <v/>
      </c>
      <c r="W42" t="str">
        <f t="shared" ca="1" si="2"/>
        <v/>
      </c>
      <c r="X42" t="str">
        <f t="shared" ca="1" si="2"/>
        <v/>
      </c>
      <c r="Y42" t="str">
        <f t="shared" ca="1" si="2"/>
        <v/>
      </c>
      <c r="Z42" t="str">
        <f t="shared" ca="1" si="2"/>
        <v/>
      </c>
      <c r="AA42" t="str">
        <f t="shared" ca="1" si="2"/>
        <v/>
      </c>
      <c r="AB42" t="str">
        <f t="shared" ca="1" si="2"/>
        <v/>
      </c>
      <c r="AC42" t="str">
        <f t="shared" ca="1" si="2"/>
        <v/>
      </c>
      <c r="AD42" t="str">
        <f t="shared" ca="1" si="2"/>
        <v/>
      </c>
      <c r="AE42" t="str">
        <f t="shared" ca="1" si="2"/>
        <v/>
      </c>
      <c r="AF42" t="str">
        <f t="shared" ca="1" si="2"/>
        <v/>
      </c>
      <c r="AG42" t="str">
        <f t="shared" ca="1" si="2"/>
        <v/>
      </c>
      <c r="AH42" t="str">
        <f t="shared" ca="1" si="2"/>
        <v/>
      </c>
      <c r="AI42" t="str">
        <f t="shared" ca="1" si="2"/>
        <v/>
      </c>
      <c r="AJ42" t="str">
        <f t="shared" ca="1" si="2"/>
        <v/>
      </c>
      <c r="AK42" t="str">
        <f t="shared" ca="1" si="2"/>
        <v/>
      </c>
      <c r="AL42" t="str">
        <f t="shared" ca="1" si="2"/>
        <v/>
      </c>
      <c r="AM42" t="str">
        <f t="shared" ca="1" si="2"/>
        <v/>
      </c>
      <c r="AN42" t="str">
        <f t="shared" ca="1" si="2"/>
        <v/>
      </c>
    </row>
    <row r="43" spans="2:40">
      <c r="D43" s="31">
        <f ca="1">IF(D39&lt;=INDIRECT("ShipsInfo!C"&amp;$AC$2),1,"")</f>
        <v>1</v>
      </c>
      <c r="E43" s="31">
        <f t="shared" ref="E43:AN43" ca="1" si="3">IF(E39&lt;=INDIRECT("ShipsInfo!C"&amp;$AC$2),1,"")</f>
        <v>1</v>
      </c>
      <c r="F43" s="31">
        <f t="shared" ca="1" si="3"/>
        <v>1</v>
      </c>
      <c r="G43" s="31">
        <f t="shared" ca="1" si="3"/>
        <v>1</v>
      </c>
      <c r="H43" s="31">
        <f t="shared" ca="1" si="3"/>
        <v>1</v>
      </c>
      <c r="I43" s="31">
        <f t="shared" ca="1" si="3"/>
        <v>1</v>
      </c>
      <c r="J43" s="31">
        <f t="shared" ca="1" si="3"/>
        <v>1</v>
      </c>
      <c r="K43" s="31">
        <f t="shared" ca="1" si="3"/>
        <v>1</v>
      </c>
      <c r="L43" s="31" t="str">
        <f t="shared" ca="1" si="3"/>
        <v/>
      </c>
      <c r="M43" s="31" t="str">
        <f t="shared" ca="1" si="3"/>
        <v/>
      </c>
      <c r="N43" s="31" t="str">
        <f t="shared" ca="1" si="3"/>
        <v/>
      </c>
      <c r="O43" s="31" t="str">
        <f t="shared" ca="1" si="3"/>
        <v/>
      </c>
      <c r="P43" s="31" t="str">
        <f t="shared" ca="1" si="3"/>
        <v/>
      </c>
      <c r="Q43" s="31" t="str">
        <f t="shared" ca="1" si="3"/>
        <v/>
      </c>
      <c r="R43" s="31" t="str">
        <f t="shared" ca="1" si="3"/>
        <v/>
      </c>
      <c r="S43" s="31" t="str">
        <f t="shared" ca="1" si="3"/>
        <v/>
      </c>
      <c r="T43" s="31" t="str">
        <f t="shared" ca="1" si="3"/>
        <v/>
      </c>
      <c r="U43" s="31" t="str">
        <f t="shared" ca="1" si="3"/>
        <v/>
      </c>
      <c r="V43" s="31" t="str">
        <f t="shared" ca="1" si="3"/>
        <v/>
      </c>
      <c r="W43" s="31" t="str">
        <f t="shared" ca="1" si="3"/>
        <v/>
      </c>
      <c r="X43" s="31" t="str">
        <f t="shared" ca="1" si="3"/>
        <v/>
      </c>
      <c r="Y43" s="31" t="str">
        <f t="shared" ca="1" si="3"/>
        <v/>
      </c>
      <c r="Z43" s="31" t="str">
        <f t="shared" ca="1" si="3"/>
        <v/>
      </c>
      <c r="AA43" s="31" t="str">
        <f t="shared" ca="1" si="3"/>
        <v/>
      </c>
      <c r="AB43" s="31" t="str">
        <f t="shared" ca="1" si="3"/>
        <v/>
      </c>
      <c r="AC43" s="31" t="str">
        <f t="shared" ca="1" si="3"/>
        <v/>
      </c>
      <c r="AD43" s="31" t="str">
        <f t="shared" ca="1" si="3"/>
        <v/>
      </c>
      <c r="AE43" s="31" t="str">
        <f t="shared" ca="1" si="3"/>
        <v/>
      </c>
      <c r="AF43" s="31" t="str">
        <f t="shared" ca="1" si="3"/>
        <v/>
      </c>
      <c r="AG43" s="31" t="str">
        <f t="shared" ca="1" si="3"/>
        <v/>
      </c>
      <c r="AH43" s="31" t="str">
        <f t="shared" ca="1" si="3"/>
        <v/>
      </c>
      <c r="AI43" s="31" t="str">
        <f t="shared" ca="1" si="3"/>
        <v/>
      </c>
      <c r="AJ43" s="31" t="str">
        <f t="shared" ca="1" si="3"/>
        <v/>
      </c>
      <c r="AK43" s="31" t="str">
        <f t="shared" ca="1" si="3"/>
        <v/>
      </c>
      <c r="AL43" s="31" t="str">
        <f t="shared" ca="1" si="3"/>
        <v/>
      </c>
      <c r="AM43" s="31" t="str">
        <f t="shared" ca="1" si="3"/>
        <v/>
      </c>
      <c r="AN43" s="31" t="str">
        <f t="shared" ca="1" si="3"/>
        <v/>
      </c>
    </row>
    <row r="45" spans="2:40">
      <c r="B45" t="s">
        <v>228</v>
      </c>
      <c r="D45" t="str">
        <f ca="1">IF(D39&lt;=INDIRECT("ShipsInfo!C"&amp;$AC$2),IF(IF(D46+D49&gt;0,1,0)+IF(-D46+D49&gt;0,1,0)+IF(D47+D49&gt;0,1,0)+IF(-D47+D49&gt;0,1,0)+IF(D48+D49&gt;0,1,0)+IF(-D48+D49&gt;0,1,0)=6,"Y","N"),"")</f>
        <v>Y</v>
      </c>
      <c r="E45" t="str">
        <f t="shared" ref="E45:AN45" ca="1" si="4">IF(E39&lt;=INDIRECT("ShipsInfo!C"&amp;$AC$2),IF(IF(E46+E49&gt;0,1,0)+IF(-E46+E49&gt;0,1,0)+IF(E47+E49&gt;0,1,0)+IF(-E47+E49&gt;0,1,0)+IF(E48+E49&gt;0,1,0)+IF(-E48+E49&gt;0,1,0)=6,"Y","N"),"")</f>
        <v>Y</v>
      </c>
      <c r="F45" t="str">
        <f t="shared" ca="1" si="4"/>
        <v>Y</v>
      </c>
      <c r="G45" t="str">
        <f t="shared" ca="1" si="4"/>
        <v>Y</v>
      </c>
      <c r="H45" t="str">
        <f t="shared" ca="1" si="4"/>
        <v>Y</v>
      </c>
      <c r="I45" t="str">
        <f t="shared" ca="1" si="4"/>
        <v>Y</v>
      </c>
      <c r="J45" t="str">
        <f t="shared" ca="1" si="4"/>
        <v>Y</v>
      </c>
      <c r="K45" t="str">
        <f t="shared" ca="1" si="4"/>
        <v>Y</v>
      </c>
      <c r="L45" t="str">
        <f t="shared" ca="1" si="4"/>
        <v/>
      </c>
      <c r="M45" t="str">
        <f t="shared" ca="1" si="4"/>
        <v/>
      </c>
      <c r="N45" t="str">
        <f t="shared" ca="1" si="4"/>
        <v/>
      </c>
      <c r="O45" t="str">
        <f t="shared" ca="1" si="4"/>
        <v/>
      </c>
      <c r="P45" t="str">
        <f t="shared" ca="1" si="4"/>
        <v/>
      </c>
      <c r="Q45" t="str">
        <f t="shared" ca="1" si="4"/>
        <v/>
      </c>
      <c r="R45" t="str">
        <f t="shared" ca="1" si="4"/>
        <v/>
      </c>
      <c r="S45" t="str">
        <f t="shared" ca="1" si="4"/>
        <v/>
      </c>
      <c r="T45" t="str">
        <f t="shared" ca="1" si="4"/>
        <v/>
      </c>
      <c r="U45" t="str">
        <f t="shared" ca="1" si="4"/>
        <v/>
      </c>
      <c r="V45" t="str">
        <f t="shared" ca="1" si="4"/>
        <v/>
      </c>
      <c r="W45" t="str">
        <f t="shared" ca="1" si="4"/>
        <v/>
      </c>
      <c r="X45" t="str">
        <f t="shared" ca="1" si="4"/>
        <v/>
      </c>
      <c r="Y45" t="str">
        <f t="shared" ca="1" si="4"/>
        <v/>
      </c>
      <c r="Z45" t="str">
        <f t="shared" ca="1" si="4"/>
        <v/>
      </c>
      <c r="AA45" t="str">
        <f t="shared" ca="1" si="4"/>
        <v/>
      </c>
      <c r="AB45" t="str">
        <f t="shared" ca="1" si="4"/>
        <v/>
      </c>
      <c r="AC45" t="str">
        <f t="shared" ca="1" si="4"/>
        <v/>
      </c>
      <c r="AD45" t="str">
        <f t="shared" ca="1" si="4"/>
        <v/>
      </c>
      <c r="AE45" t="str">
        <f t="shared" ca="1" si="4"/>
        <v/>
      </c>
      <c r="AF45" t="str">
        <f t="shared" ca="1" si="4"/>
        <v/>
      </c>
      <c r="AG45" t="str">
        <f t="shared" ca="1" si="4"/>
        <v/>
      </c>
      <c r="AH45" t="str">
        <f t="shared" ca="1" si="4"/>
        <v/>
      </c>
      <c r="AI45" t="str">
        <f t="shared" ca="1" si="4"/>
        <v/>
      </c>
      <c r="AJ45" t="str">
        <f t="shared" ca="1" si="4"/>
        <v/>
      </c>
      <c r="AK45" t="str">
        <f t="shared" ca="1" si="4"/>
        <v/>
      </c>
      <c r="AL45" t="str">
        <f t="shared" ca="1" si="4"/>
        <v/>
      </c>
      <c r="AM45" t="str">
        <f t="shared" ca="1" si="4"/>
        <v/>
      </c>
      <c r="AN45" t="str">
        <f t="shared" ca="1" si="4"/>
        <v/>
      </c>
    </row>
    <row r="46" spans="2:40">
      <c r="B46" t="s">
        <v>43</v>
      </c>
      <c r="D46">
        <f t="array" aca="1" ref="D46:D49" ca="1">MMULT($E$33:$H$36,D40:D43)</f>
        <v>0.26399712482358606</v>
      </c>
      <c r="E46">
        <f t="array" aca="1" ref="E46:E49" ca="1">MMULT($E$33:$H$36,E40:E43)</f>
        <v>-1.8338044186528131</v>
      </c>
      <c r="F46">
        <f t="array" aca="1" ref="F46:F49" ca="1">MMULT($E$33:$H$36,F40:F43)</f>
        <v>-2.3644962831567651</v>
      </c>
      <c r="G46">
        <f t="array" aca="1" ref="G46:G49" ca="1">MMULT($E$33:$H$36,G40:G43)</f>
        <v>-0.26669473968036594</v>
      </c>
      <c r="H46">
        <f t="array" aca="1" ref="H46:H49" ca="1">MMULT($E$33:$H$36,H40:H43)</f>
        <v>0.84295725223941764</v>
      </c>
      <c r="I46">
        <f t="array" aca="1" ref="I46:I49" ca="1">MMULT($E$33:$H$36,I40:I43)</f>
        <v>-1.2548442912369815</v>
      </c>
      <c r="J46">
        <f t="array" aca="1" ref="J46:J49" ca="1">MMULT($E$33:$H$36,J40:J43)</f>
        <v>-1.7855361557409335</v>
      </c>
      <c r="K46">
        <f t="array" aca="1" ref="K46:K49" ca="1">MMULT($E$33:$H$36,K40:K43)</f>
        <v>0.31226538773546564</v>
      </c>
      <c r="L46" t="e">
        <f t="array" aca="1" ref="L46:L49" ca="1">MMULT($E$33:$H$36,L40:L43)</f>
        <v>#VALUE!</v>
      </c>
      <c r="M46" t="e">
        <f t="array" aca="1" ref="M46:M49" ca="1">MMULT($E$33:$H$36,M40:M43)</f>
        <v>#VALUE!</v>
      </c>
      <c r="N46" t="e">
        <f t="array" aca="1" ref="N46:N49" ca="1">MMULT($E$33:$H$36,N40:N43)</f>
        <v>#VALUE!</v>
      </c>
      <c r="O46" t="e">
        <f t="array" aca="1" ref="O46:O49" ca="1">MMULT($E$33:$H$36,O40:O43)</f>
        <v>#VALUE!</v>
      </c>
      <c r="P46" t="e">
        <f t="array" aca="1" ref="P46:P49" ca="1">MMULT($E$33:$H$36,P40:P43)</f>
        <v>#VALUE!</v>
      </c>
      <c r="Q46" t="e">
        <f t="array" aca="1" ref="Q46:Q49" ca="1">MMULT($E$33:$H$36,Q40:Q43)</f>
        <v>#VALUE!</v>
      </c>
      <c r="R46" t="e">
        <f t="array" aca="1" ref="R46:R49" ca="1">MMULT($E$33:$H$36,R40:R43)</f>
        <v>#VALUE!</v>
      </c>
      <c r="S46" t="e">
        <f t="array" aca="1" ref="S46:S49" ca="1">MMULT($E$33:$H$36,S40:S43)</f>
        <v>#VALUE!</v>
      </c>
      <c r="T46" t="e">
        <f t="array" aca="1" ref="T46:T49" ca="1">MMULT($E$33:$H$36,T40:T43)</f>
        <v>#VALUE!</v>
      </c>
      <c r="U46" t="e">
        <f t="array" aca="1" ref="U46:U49" ca="1">MMULT($E$33:$H$36,U40:U43)</f>
        <v>#VALUE!</v>
      </c>
      <c r="V46" t="e">
        <f t="array" aca="1" ref="V46:V49" ca="1">MMULT($E$33:$H$36,V40:V43)</f>
        <v>#VALUE!</v>
      </c>
      <c r="W46" t="e">
        <f t="array" aca="1" ref="W46:W49" ca="1">MMULT($E$33:$H$36,W40:W43)</f>
        <v>#VALUE!</v>
      </c>
      <c r="X46" t="e">
        <f t="array" aca="1" ref="X46:X49" ca="1">MMULT($E$33:$H$36,X40:X43)</f>
        <v>#VALUE!</v>
      </c>
      <c r="Y46" t="e">
        <f t="array" aca="1" ref="Y46:Y49" ca="1">MMULT($E$33:$H$36,Y40:Y43)</f>
        <v>#VALUE!</v>
      </c>
      <c r="Z46" t="e">
        <f t="array" aca="1" ref="Z46:Z49" ca="1">MMULT($E$33:$H$36,Z40:Z43)</f>
        <v>#VALUE!</v>
      </c>
      <c r="AA46" t="e">
        <f t="array" aca="1" ref="AA46:AA49" ca="1">MMULT($E$33:$H$36,AA40:AA43)</f>
        <v>#VALUE!</v>
      </c>
      <c r="AB46" t="e">
        <f t="array" aca="1" ref="AB46:AB49" ca="1">MMULT($E$33:$H$36,AB40:AB43)</f>
        <v>#VALUE!</v>
      </c>
      <c r="AC46" t="e">
        <f t="array" aca="1" ref="AC46:AC49" ca="1">MMULT($E$33:$H$36,AC40:AC43)</f>
        <v>#VALUE!</v>
      </c>
      <c r="AD46" t="e">
        <f t="array" aca="1" ref="AD46:AD49" ca="1">MMULT($E$33:$H$36,AD40:AD43)</f>
        <v>#VALUE!</v>
      </c>
      <c r="AE46" t="e">
        <f t="array" aca="1" ref="AE46:AE49" ca="1">MMULT($E$33:$H$36,AE40:AE43)</f>
        <v>#VALUE!</v>
      </c>
      <c r="AF46" t="e">
        <f t="array" aca="1" ref="AF46:AF49" ca="1">MMULT($E$33:$H$36,AF40:AF43)</f>
        <v>#VALUE!</v>
      </c>
      <c r="AG46" t="e">
        <f t="array" aca="1" ref="AG46:AG49" ca="1">MMULT($E$33:$H$36,AG40:AG43)</f>
        <v>#VALUE!</v>
      </c>
      <c r="AH46" t="e">
        <f t="array" aca="1" ref="AH46:AH49" ca="1">MMULT($E$33:$H$36,AH40:AH43)</f>
        <v>#VALUE!</v>
      </c>
      <c r="AI46" t="e">
        <f t="array" aca="1" ref="AI46:AI49" ca="1">MMULT($E$33:$H$36,AI40:AI43)</f>
        <v>#VALUE!</v>
      </c>
      <c r="AJ46" t="e">
        <f t="array" aca="1" ref="AJ46:AJ49" ca="1">MMULT($E$33:$H$36,AJ40:AJ43)</f>
        <v>#VALUE!</v>
      </c>
      <c r="AK46" t="e">
        <f t="array" aca="1" ref="AK46:AK49" ca="1">MMULT($E$33:$H$36,AK40:AK43)</f>
        <v>#VALUE!</v>
      </c>
      <c r="AL46" t="e">
        <f t="array" aca="1" ref="AL46:AL49" ca="1">MMULT($E$33:$H$36,AL40:AL43)</f>
        <v>#VALUE!</v>
      </c>
      <c r="AM46" t="e">
        <f t="array" aca="1" ref="AM46:AM49" ca="1">MMULT($E$33:$H$36,AM40:AM43)</f>
        <v>#VALUE!</v>
      </c>
      <c r="AN46" t="e">
        <f t="array" aca="1" ref="AN46:AN49" ca="1">MMULT($E$33:$H$36,AN40:AN43)</f>
        <v>#VALUE!</v>
      </c>
    </row>
    <row r="47" spans="2:40">
      <c r="D47">
        <f ca="1"/>
        <v>-0.78032656571153836</v>
      </c>
      <c r="E47">
        <f ca="1"/>
        <v>-0.5676858500437445</v>
      </c>
      <c r="F47">
        <f ca="1"/>
        <v>1.0635993259226684</v>
      </c>
      <c r="G47">
        <f ca="1"/>
        <v>0.85095861025487474</v>
      </c>
      <c r="H47">
        <f ca="1"/>
        <v>1.4854387797539883</v>
      </c>
      <c r="I47">
        <f ca="1"/>
        <v>1.6980794954217819</v>
      </c>
      <c r="J47">
        <f ca="1"/>
        <v>3.3293646713881948</v>
      </c>
      <c r="K47">
        <f ca="1"/>
        <v>3.116723955720401</v>
      </c>
      <c r="L47" t="e">
        <f ca="1"/>
        <v>#VALUE!</v>
      </c>
      <c r="M47" t="e">
        <f ca="1"/>
        <v>#VALUE!</v>
      </c>
      <c r="N47" t="e">
        <f ca="1"/>
        <v>#VALUE!</v>
      </c>
      <c r="O47" t="e">
        <f ca="1"/>
        <v>#VALUE!</v>
      </c>
      <c r="P47" t="e">
        <f ca="1"/>
        <v>#VALUE!</v>
      </c>
      <c r="Q47" t="e">
        <f ca="1"/>
        <v>#VALUE!</v>
      </c>
      <c r="R47" t="e">
        <f ca="1"/>
        <v>#VALUE!</v>
      </c>
      <c r="S47" t="e">
        <f ca="1"/>
        <v>#VALUE!</v>
      </c>
      <c r="T47" t="e">
        <f ca="1"/>
        <v>#VALUE!</v>
      </c>
      <c r="U47" t="e">
        <f ca="1"/>
        <v>#VALUE!</v>
      </c>
      <c r="V47" t="e">
        <f ca="1"/>
        <v>#VALUE!</v>
      </c>
      <c r="W47" t="e">
        <f ca="1"/>
        <v>#VALUE!</v>
      </c>
      <c r="X47" t="e">
        <f ca="1"/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C47" t="e">
        <f ca="1"/>
        <v>#VALUE!</v>
      </c>
      <c r="AD47" t="e">
        <f ca="1"/>
        <v>#VALUE!</v>
      </c>
      <c r="AE47" t="e">
        <f ca="1"/>
        <v>#VALUE!</v>
      </c>
      <c r="AF47" t="e">
        <f ca="1"/>
        <v>#VALUE!</v>
      </c>
      <c r="AG47" t="e">
        <f ca="1"/>
        <v>#VALUE!</v>
      </c>
      <c r="AH47" t="e">
        <f ca="1"/>
        <v>#VALUE!</v>
      </c>
      <c r="AI47" t="e">
        <f ca="1"/>
        <v>#VALUE!</v>
      </c>
      <c r="AJ47" t="e">
        <f ca="1"/>
        <v>#VALUE!</v>
      </c>
      <c r="AK47" t="e">
        <f ca="1"/>
        <v>#VALUE!</v>
      </c>
      <c r="AL47" t="e">
        <f ca="1"/>
        <v>#VALUE!</v>
      </c>
      <c r="AM47" t="e">
        <f ca="1"/>
        <v>#VALUE!</v>
      </c>
      <c r="AN47" t="e">
        <f ca="1"/>
        <v>#VALUE!</v>
      </c>
    </row>
    <row r="48" spans="2:40">
      <c r="D48">
        <f ca="1"/>
        <v>6.6747272775142674</v>
      </c>
      <c r="E48">
        <f ca="1"/>
        <v>7.7396440974758809</v>
      </c>
      <c r="F48">
        <f ca="1"/>
        <v>5.3208759751000194</v>
      </c>
      <c r="G48">
        <f ca="1"/>
        <v>4.2559591551384059</v>
      </c>
      <c r="H48">
        <f ca="1"/>
        <v>8.3162282011875384</v>
      </c>
      <c r="I48">
        <f ca="1"/>
        <v>9.3811450211491518</v>
      </c>
      <c r="J48">
        <f ca="1"/>
        <v>6.9623768987732904</v>
      </c>
      <c r="K48">
        <f ca="1"/>
        <v>5.8974600788116769</v>
      </c>
      <c r="L48" t="e">
        <f ca="1"/>
        <v>#VALUE!</v>
      </c>
      <c r="M48" t="e">
        <f ca="1"/>
        <v>#VALUE!</v>
      </c>
      <c r="N48" t="e">
        <f ca="1"/>
        <v>#VALUE!</v>
      </c>
      <c r="O48" t="e">
        <f ca="1"/>
        <v>#VALUE!</v>
      </c>
      <c r="P48" t="e">
        <f ca="1"/>
        <v>#VALUE!</v>
      </c>
      <c r="Q48" t="e">
        <f ca="1"/>
        <v>#VALUE!</v>
      </c>
      <c r="R48" t="e">
        <f ca="1"/>
        <v>#VALUE!</v>
      </c>
      <c r="S48" t="e">
        <f ca="1"/>
        <v>#VALUE!</v>
      </c>
      <c r="T48" t="e">
        <f ca="1"/>
        <v>#VALUE!</v>
      </c>
      <c r="U48" t="e">
        <f ca="1"/>
        <v>#VALUE!</v>
      </c>
      <c r="V48" t="e">
        <f ca="1"/>
        <v>#VALUE!</v>
      </c>
      <c r="W48" t="e">
        <f ca="1"/>
        <v>#VALUE!</v>
      </c>
      <c r="X48" t="e">
        <f ca="1"/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C48" t="e">
        <f ca="1"/>
        <v>#VALUE!</v>
      </c>
      <c r="AD48" t="e">
        <f ca="1"/>
        <v>#VALUE!</v>
      </c>
      <c r="AE48" t="e">
        <f ca="1"/>
        <v>#VALUE!</v>
      </c>
      <c r="AF48" t="e">
        <f ca="1"/>
        <v>#VALUE!</v>
      </c>
      <c r="AG48" t="e">
        <f ca="1"/>
        <v>#VALUE!</v>
      </c>
      <c r="AH48" t="e">
        <f ca="1"/>
        <v>#VALUE!</v>
      </c>
      <c r="AI48" t="e">
        <f ca="1"/>
        <v>#VALUE!</v>
      </c>
      <c r="AJ48" t="e">
        <f ca="1"/>
        <v>#VALUE!</v>
      </c>
      <c r="AK48" t="e">
        <f ca="1"/>
        <v>#VALUE!</v>
      </c>
      <c r="AL48" t="e">
        <f ca="1"/>
        <v>#VALUE!</v>
      </c>
      <c r="AM48" t="e">
        <f ca="1"/>
        <v>#VALUE!</v>
      </c>
      <c r="AN48" t="e">
        <f ca="1"/>
        <v>#VALUE!</v>
      </c>
    </row>
    <row r="49" spans="2:40">
      <c r="D49">
        <f ca="1"/>
        <v>6.9572545497628404</v>
      </c>
      <c r="E49">
        <f ca="1"/>
        <v>7.915679687728292</v>
      </c>
      <c r="F49">
        <f ca="1"/>
        <v>5.7387883775900166</v>
      </c>
      <c r="G49">
        <f ca="1"/>
        <v>4.780363239624565</v>
      </c>
      <c r="H49">
        <f ca="1"/>
        <v>8.4346053810687849</v>
      </c>
      <c r="I49">
        <f ca="1"/>
        <v>9.3930305190342356</v>
      </c>
      <c r="J49">
        <f ca="1"/>
        <v>7.2161392088959602</v>
      </c>
      <c r="K49">
        <f ca="1"/>
        <v>6.2577140709305086</v>
      </c>
      <c r="L49" t="e">
        <f ca="1"/>
        <v>#VALUE!</v>
      </c>
      <c r="M49" t="e">
        <f ca="1"/>
        <v>#VALUE!</v>
      </c>
      <c r="N49" t="e">
        <f ca="1"/>
        <v>#VALUE!</v>
      </c>
      <c r="O49" t="e">
        <f ca="1"/>
        <v>#VALUE!</v>
      </c>
      <c r="P49" t="e">
        <f ca="1"/>
        <v>#VALUE!</v>
      </c>
      <c r="Q49" t="e">
        <f ca="1"/>
        <v>#VALUE!</v>
      </c>
      <c r="R49" t="e">
        <f ca="1"/>
        <v>#VALUE!</v>
      </c>
      <c r="S49" t="e">
        <f ca="1"/>
        <v>#VALUE!</v>
      </c>
      <c r="T49" t="e">
        <f ca="1"/>
        <v>#VALUE!</v>
      </c>
      <c r="U49" t="e">
        <f ca="1"/>
        <v>#VALUE!</v>
      </c>
      <c r="V49" t="e">
        <f ca="1"/>
        <v>#VALUE!</v>
      </c>
      <c r="W49" t="e">
        <f ca="1"/>
        <v>#VALUE!</v>
      </c>
      <c r="X49" t="e">
        <f ca="1"/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C49" t="e">
        <f ca="1"/>
        <v>#VALUE!</v>
      </c>
      <c r="AD49" t="e">
        <f ca="1"/>
        <v>#VALUE!</v>
      </c>
      <c r="AE49" t="e">
        <f ca="1"/>
        <v>#VALUE!</v>
      </c>
      <c r="AF49" t="e">
        <f ca="1"/>
        <v>#VALUE!</v>
      </c>
      <c r="AG49" t="e">
        <f ca="1"/>
        <v>#VALUE!</v>
      </c>
      <c r="AH49" t="e">
        <f ca="1"/>
        <v>#VALUE!</v>
      </c>
      <c r="AI49" t="e">
        <f ca="1"/>
        <v>#VALUE!</v>
      </c>
      <c r="AJ49" t="e">
        <f ca="1"/>
        <v>#VALUE!</v>
      </c>
      <c r="AK49" t="e">
        <f ca="1"/>
        <v>#VALUE!</v>
      </c>
      <c r="AL49" t="e">
        <f ca="1"/>
        <v>#VALUE!</v>
      </c>
      <c r="AM49" t="e">
        <f ca="1"/>
        <v>#VALUE!</v>
      </c>
      <c r="AN49" t="e">
        <f ca="1"/>
        <v>#VALUE!</v>
      </c>
    </row>
    <row r="52" spans="2:40">
      <c r="B52" s="59" t="s">
        <v>44</v>
      </c>
      <c r="C52" s="59"/>
      <c r="D52" s="29">
        <f ca="1">IF(D39&lt;=INDIRECT("ShipsInfo!C"&amp;$AC$2),D46/D$49,"")</f>
        <v>3.7945589447001792E-2</v>
      </c>
      <c r="E52" s="29">
        <f t="shared" ref="E52:AN52" ca="1" si="5">IF(E39&lt;=INDIRECT("ShipsInfo!C"&amp;$AC$2),E46/E$49,"")</f>
        <v>-0.2316673350863056</v>
      </c>
      <c r="F52" s="29">
        <f t="shared" ca="1" si="5"/>
        <v>-0.4120201212489607</v>
      </c>
      <c r="G52" s="29">
        <f t="shared" ca="1" si="5"/>
        <v>-5.5789639052891582E-2</v>
      </c>
      <c r="H52" s="29">
        <f t="shared" ca="1" si="5"/>
        <v>9.9940330834138322E-2</v>
      </c>
      <c r="I52" s="29">
        <f t="shared" ca="1" si="5"/>
        <v>-0.13359312403958856</v>
      </c>
      <c r="J52" s="29">
        <f t="shared" ca="1" si="5"/>
        <v>-0.2474364897977229</v>
      </c>
      <c r="K52" s="29">
        <f t="shared" ca="1" si="5"/>
        <v>4.9900871819321145E-2</v>
      </c>
      <c r="L52" s="29" t="str">
        <f t="shared" ca="1" si="5"/>
        <v/>
      </c>
      <c r="M52" s="29" t="str">
        <f t="shared" ca="1" si="5"/>
        <v/>
      </c>
      <c r="N52" s="29" t="str">
        <f t="shared" ca="1" si="5"/>
        <v/>
      </c>
      <c r="O52" s="29" t="str">
        <f t="shared" ca="1" si="5"/>
        <v/>
      </c>
      <c r="P52" s="29" t="str">
        <f t="shared" ca="1" si="5"/>
        <v/>
      </c>
      <c r="Q52" s="29" t="str">
        <f t="shared" ca="1" si="5"/>
        <v/>
      </c>
      <c r="R52" s="29" t="str">
        <f t="shared" ca="1" si="5"/>
        <v/>
      </c>
      <c r="S52" s="29" t="str">
        <f t="shared" ca="1" si="5"/>
        <v/>
      </c>
      <c r="T52" s="29" t="str">
        <f t="shared" ca="1" si="5"/>
        <v/>
      </c>
      <c r="U52" s="29" t="str">
        <f t="shared" ca="1" si="5"/>
        <v/>
      </c>
      <c r="V52" s="29" t="str">
        <f t="shared" ca="1" si="5"/>
        <v/>
      </c>
      <c r="W52" s="29" t="str">
        <f t="shared" ca="1" si="5"/>
        <v/>
      </c>
      <c r="X52" s="29" t="str">
        <f t="shared" ca="1" si="5"/>
        <v/>
      </c>
      <c r="Y52" s="29" t="str">
        <f t="shared" ca="1" si="5"/>
        <v/>
      </c>
      <c r="Z52" s="29" t="str">
        <f t="shared" ca="1" si="5"/>
        <v/>
      </c>
      <c r="AA52" s="29" t="str">
        <f t="shared" ca="1" si="5"/>
        <v/>
      </c>
      <c r="AB52" s="29" t="str">
        <f t="shared" ca="1" si="5"/>
        <v/>
      </c>
      <c r="AC52" s="29" t="str">
        <f t="shared" ca="1" si="5"/>
        <v/>
      </c>
      <c r="AD52" s="29" t="str">
        <f t="shared" ca="1" si="5"/>
        <v/>
      </c>
      <c r="AE52" s="29" t="str">
        <f t="shared" ca="1" si="5"/>
        <v/>
      </c>
      <c r="AF52" s="29" t="str">
        <f t="shared" ca="1" si="5"/>
        <v/>
      </c>
      <c r="AG52" s="29" t="str">
        <f t="shared" ca="1" si="5"/>
        <v/>
      </c>
      <c r="AH52" s="29" t="str">
        <f t="shared" ca="1" si="5"/>
        <v/>
      </c>
      <c r="AI52" s="29" t="str">
        <f t="shared" ca="1" si="5"/>
        <v/>
      </c>
      <c r="AJ52" s="29" t="str">
        <f t="shared" ca="1" si="5"/>
        <v/>
      </c>
      <c r="AK52" s="29" t="str">
        <f t="shared" ca="1" si="5"/>
        <v/>
      </c>
      <c r="AL52" s="29" t="str">
        <f t="shared" ca="1" si="5"/>
        <v/>
      </c>
      <c r="AM52" s="29" t="str">
        <f t="shared" ca="1" si="5"/>
        <v/>
      </c>
      <c r="AN52" s="29" t="str">
        <f t="shared" ca="1" si="5"/>
        <v/>
      </c>
    </row>
    <row r="53" spans="2:40">
      <c r="D53" s="29">
        <f ca="1">IF(D39&lt;=INDIRECT("ShipsInfo!C"&amp;$AC$2),D47/D$49,"")</f>
        <v>-0.11216012870164974</v>
      </c>
      <c r="E53" s="29">
        <f t="shared" ref="E53:AN53" ca="1" si="6">IF(E39&lt;=INDIRECT("ShipsInfo!C"&amp;$AC$2),E47/E$49,"")</f>
        <v>-7.1716627306664518E-2</v>
      </c>
      <c r="F53" s="29">
        <f t="shared" ca="1" si="6"/>
        <v>0.18533517110964162</v>
      </c>
      <c r="G53" s="29">
        <f t="shared" ca="1" si="6"/>
        <v>0.17801128650669365</v>
      </c>
      <c r="H53" s="29">
        <f t="shared" ca="1" si="6"/>
        <v>0.17611242170119901</v>
      </c>
      <c r="I53" s="29">
        <f t="shared" ca="1" si="6"/>
        <v>0.18078079188402058</v>
      </c>
      <c r="J53" s="29">
        <f t="shared" ca="1" si="6"/>
        <v>0.46137755592128799</v>
      </c>
      <c r="K53" s="29">
        <f t="shared" ca="1" si="6"/>
        <v>0.49806110033035605</v>
      </c>
      <c r="L53" s="29" t="str">
        <f t="shared" ca="1" si="6"/>
        <v/>
      </c>
      <c r="M53" s="29" t="str">
        <f t="shared" ca="1" si="6"/>
        <v/>
      </c>
      <c r="N53" s="29" t="str">
        <f t="shared" ca="1" si="6"/>
        <v/>
      </c>
      <c r="O53" s="29" t="str">
        <f t="shared" ca="1" si="6"/>
        <v/>
      </c>
      <c r="P53" s="29" t="str">
        <f t="shared" ca="1" si="6"/>
        <v/>
      </c>
      <c r="Q53" s="29" t="str">
        <f t="shared" ca="1" si="6"/>
        <v/>
      </c>
      <c r="R53" s="29" t="str">
        <f t="shared" ca="1" si="6"/>
        <v/>
      </c>
      <c r="S53" s="29" t="str">
        <f t="shared" ca="1" si="6"/>
        <v/>
      </c>
      <c r="T53" s="29" t="str">
        <f t="shared" ca="1" si="6"/>
        <v/>
      </c>
      <c r="U53" s="29" t="str">
        <f t="shared" ca="1" si="6"/>
        <v/>
      </c>
      <c r="V53" s="29" t="str">
        <f t="shared" ca="1" si="6"/>
        <v/>
      </c>
      <c r="W53" s="29" t="str">
        <f t="shared" ca="1" si="6"/>
        <v/>
      </c>
      <c r="X53" s="29" t="str">
        <f t="shared" ca="1" si="6"/>
        <v/>
      </c>
      <c r="Y53" s="29" t="str">
        <f t="shared" ca="1" si="6"/>
        <v/>
      </c>
      <c r="Z53" s="29" t="str">
        <f t="shared" ca="1" si="6"/>
        <v/>
      </c>
      <c r="AA53" s="29" t="str">
        <f t="shared" ca="1" si="6"/>
        <v/>
      </c>
      <c r="AB53" s="29" t="str">
        <f t="shared" ca="1" si="6"/>
        <v/>
      </c>
      <c r="AC53" s="29" t="str">
        <f t="shared" ca="1" si="6"/>
        <v/>
      </c>
      <c r="AD53" s="29" t="str">
        <f t="shared" ca="1" si="6"/>
        <v/>
      </c>
      <c r="AE53" s="29" t="str">
        <f t="shared" ca="1" si="6"/>
        <v/>
      </c>
      <c r="AF53" s="29" t="str">
        <f t="shared" ca="1" si="6"/>
        <v/>
      </c>
      <c r="AG53" s="29" t="str">
        <f t="shared" ca="1" si="6"/>
        <v/>
      </c>
      <c r="AH53" s="29" t="str">
        <f t="shared" ca="1" si="6"/>
        <v/>
      </c>
      <c r="AI53" s="29" t="str">
        <f t="shared" ca="1" si="6"/>
        <v/>
      </c>
      <c r="AJ53" s="29" t="str">
        <f t="shared" ca="1" si="6"/>
        <v/>
      </c>
      <c r="AK53" s="29" t="str">
        <f t="shared" ca="1" si="6"/>
        <v/>
      </c>
      <c r="AL53" s="29" t="str">
        <f t="shared" ca="1" si="6"/>
        <v/>
      </c>
      <c r="AM53" s="29" t="str">
        <f t="shared" ca="1" si="6"/>
        <v/>
      </c>
      <c r="AN53" s="29" t="str">
        <f t="shared" ca="1" si="6"/>
        <v/>
      </c>
    </row>
    <row r="54" spans="2:40">
      <c r="D54" s="29">
        <f ca="1">IF(D39&lt;=INDIRECT("ShipsInfo!C"&amp;$AC$2),D48/D$49,"")</f>
        <v>0.95939098243024556</v>
      </c>
      <c r="E54" s="29">
        <f t="shared" ref="E54:AN54" ca="1" si="7">IF(E39&lt;=INDIRECT("ShipsInfo!C"&amp;$AC$2),E48/E$49,"")</f>
        <v>0.97776115290196497</v>
      </c>
      <c r="F54" s="29">
        <f t="shared" ca="1" si="7"/>
        <v>0.92717758958982588</v>
      </c>
      <c r="G54" s="29">
        <f t="shared" ca="1" si="7"/>
        <v>0.89030036877964447</v>
      </c>
      <c r="H54" s="29">
        <f t="shared" ca="1" si="7"/>
        <v>0.98596529718545689</v>
      </c>
      <c r="I54" s="29">
        <f t="shared" ca="1" si="7"/>
        <v>0.99873464715556937</v>
      </c>
      <c r="J54" s="29">
        <f t="shared" ca="1" si="7"/>
        <v>0.9648340611542201</v>
      </c>
      <c r="K54" s="29">
        <f t="shared" ca="1" si="7"/>
        <v>0.9424304165969567</v>
      </c>
      <c r="L54" s="29" t="str">
        <f t="shared" ca="1" si="7"/>
        <v/>
      </c>
      <c r="M54" s="29" t="str">
        <f t="shared" ca="1" si="7"/>
        <v/>
      </c>
      <c r="N54" s="29" t="str">
        <f t="shared" ca="1" si="7"/>
        <v/>
      </c>
      <c r="O54" s="29" t="str">
        <f t="shared" ca="1" si="7"/>
        <v/>
      </c>
      <c r="P54" s="29" t="str">
        <f t="shared" ca="1" si="7"/>
        <v/>
      </c>
      <c r="Q54" s="29" t="str">
        <f t="shared" ca="1" si="7"/>
        <v/>
      </c>
      <c r="R54" s="29" t="str">
        <f t="shared" ca="1" si="7"/>
        <v/>
      </c>
      <c r="S54" s="29" t="str">
        <f t="shared" ca="1" si="7"/>
        <v/>
      </c>
      <c r="T54" s="29" t="str">
        <f t="shared" ca="1" si="7"/>
        <v/>
      </c>
      <c r="U54" s="29" t="str">
        <f t="shared" ca="1" si="7"/>
        <v/>
      </c>
      <c r="V54" s="29" t="str">
        <f t="shared" ca="1" si="7"/>
        <v/>
      </c>
      <c r="W54" s="29" t="str">
        <f t="shared" ca="1" si="7"/>
        <v/>
      </c>
      <c r="X54" s="29" t="str">
        <f t="shared" ca="1" si="7"/>
        <v/>
      </c>
      <c r="Y54" s="29" t="str">
        <f t="shared" ca="1" si="7"/>
        <v/>
      </c>
      <c r="Z54" s="29" t="str">
        <f t="shared" ca="1" si="7"/>
        <v/>
      </c>
      <c r="AA54" s="29" t="str">
        <f t="shared" ca="1" si="7"/>
        <v/>
      </c>
      <c r="AB54" s="29" t="str">
        <f t="shared" ca="1" si="7"/>
        <v/>
      </c>
      <c r="AC54" s="29" t="str">
        <f t="shared" ca="1" si="7"/>
        <v/>
      </c>
      <c r="AD54" s="29" t="str">
        <f t="shared" ca="1" si="7"/>
        <v/>
      </c>
      <c r="AE54" s="29" t="str">
        <f t="shared" ca="1" si="7"/>
        <v/>
      </c>
      <c r="AF54" s="29" t="str">
        <f t="shared" ca="1" si="7"/>
        <v/>
      </c>
      <c r="AG54" s="29" t="str">
        <f t="shared" ca="1" si="7"/>
        <v/>
      </c>
      <c r="AH54" s="29" t="str">
        <f t="shared" ca="1" si="7"/>
        <v/>
      </c>
      <c r="AI54" s="29" t="str">
        <f t="shared" ca="1" si="7"/>
        <v/>
      </c>
      <c r="AJ54" s="29" t="str">
        <f t="shared" ca="1" si="7"/>
        <v/>
      </c>
      <c r="AK54" s="29" t="str">
        <f t="shared" ca="1" si="7"/>
        <v/>
      </c>
      <c r="AL54" s="29" t="str">
        <f t="shared" ca="1" si="7"/>
        <v/>
      </c>
      <c r="AM54" s="29" t="str">
        <f t="shared" ca="1" si="7"/>
        <v/>
      </c>
      <c r="AN54" s="29" t="str">
        <f t="shared" ca="1" si="7"/>
        <v/>
      </c>
    </row>
    <row r="57" spans="2:40">
      <c r="B57" t="s">
        <v>45</v>
      </c>
      <c r="D57" s="30">
        <f ca="1">IF(D39&lt;=INDIRECT("ShipsInfo!C"&amp;$AC$2),ROUND((D52+1)/2*($C$5-1),0),"")</f>
        <v>498</v>
      </c>
      <c r="E57" s="30">
        <f t="shared" ref="E57:AN57" ca="1" si="8">IF(E39&lt;=INDIRECT("ShipsInfo!C"&amp;$AC$2),ROUND((E52+1)/2*($C$5-1),0),"")</f>
        <v>368</v>
      </c>
      <c r="F57" s="30">
        <f t="shared" ca="1" si="8"/>
        <v>282</v>
      </c>
      <c r="G57" s="30">
        <f t="shared" ca="1" si="8"/>
        <v>453</v>
      </c>
      <c r="H57" s="30">
        <f t="shared" ca="1" si="8"/>
        <v>527</v>
      </c>
      <c r="I57" s="30">
        <f t="shared" ca="1" si="8"/>
        <v>415</v>
      </c>
      <c r="J57" s="30">
        <f t="shared" ca="1" si="8"/>
        <v>361</v>
      </c>
      <c r="K57" s="30">
        <f t="shared" ca="1" si="8"/>
        <v>503</v>
      </c>
      <c r="L57" s="30" t="str">
        <f t="shared" ca="1" si="8"/>
        <v/>
      </c>
      <c r="M57" s="30" t="str">
        <f t="shared" ca="1" si="8"/>
        <v/>
      </c>
      <c r="N57" s="30" t="str">
        <f t="shared" ca="1" si="8"/>
        <v/>
      </c>
      <c r="O57" s="30" t="str">
        <f t="shared" ca="1" si="8"/>
        <v/>
      </c>
      <c r="P57" s="30" t="str">
        <f t="shared" ca="1" si="8"/>
        <v/>
      </c>
      <c r="Q57" s="30" t="str">
        <f t="shared" ca="1" si="8"/>
        <v/>
      </c>
      <c r="R57" s="30" t="str">
        <f t="shared" ca="1" si="8"/>
        <v/>
      </c>
      <c r="S57" s="30" t="str">
        <f t="shared" ca="1" si="8"/>
        <v/>
      </c>
      <c r="T57" s="30" t="str">
        <f t="shared" ca="1" si="8"/>
        <v/>
      </c>
      <c r="U57" s="30" t="str">
        <f t="shared" ca="1" si="8"/>
        <v/>
      </c>
      <c r="V57" s="30" t="str">
        <f t="shared" ca="1" si="8"/>
        <v/>
      </c>
      <c r="W57" s="30" t="str">
        <f t="shared" ca="1" si="8"/>
        <v/>
      </c>
      <c r="X57" s="30" t="str">
        <f t="shared" ca="1" si="8"/>
        <v/>
      </c>
      <c r="Y57" s="30" t="str">
        <f t="shared" ca="1" si="8"/>
        <v/>
      </c>
      <c r="Z57" s="30" t="str">
        <f t="shared" ca="1" si="8"/>
        <v/>
      </c>
      <c r="AA57" s="30" t="str">
        <f t="shared" ca="1" si="8"/>
        <v/>
      </c>
      <c r="AB57" s="30" t="str">
        <f t="shared" ca="1" si="8"/>
        <v/>
      </c>
      <c r="AC57" s="30" t="str">
        <f t="shared" ca="1" si="8"/>
        <v/>
      </c>
      <c r="AD57" s="30" t="str">
        <f t="shared" ca="1" si="8"/>
        <v/>
      </c>
      <c r="AE57" s="30" t="str">
        <f t="shared" ca="1" si="8"/>
        <v/>
      </c>
      <c r="AF57" s="30" t="str">
        <f t="shared" ca="1" si="8"/>
        <v/>
      </c>
      <c r="AG57" s="30" t="str">
        <f t="shared" ca="1" si="8"/>
        <v/>
      </c>
      <c r="AH57" s="30" t="str">
        <f t="shared" ca="1" si="8"/>
        <v/>
      </c>
      <c r="AI57" s="30" t="str">
        <f t="shared" ca="1" si="8"/>
        <v/>
      </c>
      <c r="AJ57" s="30" t="str">
        <f t="shared" ca="1" si="8"/>
        <v/>
      </c>
      <c r="AK57" s="30" t="str">
        <f t="shared" ca="1" si="8"/>
        <v/>
      </c>
      <c r="AL57" s="30" t="str">
        <f t="shared" ca="1" si="8"/>
        <v/>
      </c>
      <c r="AM57" s="30" t="str">
        <f t="shared" ca="1" si="8"/>
        <v/>
      </c>
      <c r="AN57" s="30" t="str">
        <f t="shared" ca="1" si="8"/>
        <v/>
      </c>
    </row>
    <row r="58" spans="2:40">
      <c r="D58" s="30">
        <f ca="1">IF(D39&lt;=INDIRECT("ShipsInfo!C"&amp;$AC$2),ROUND((1-D53)/2*($D$5-1),0),"")</f>
        <v>300</v>
      </c>
      <c r="E58" s="30">
        <f t="shared" ref="E58:AN58" ca="1" si="9">IF(E39&lt;=INDIRECT("ShipsInfo!C"&amp;$AC$2),ROUND((1-E53)/2*($D$5-1),0),"")</f>
        <v>289</v>
      </c>
      <c r="F58" s="30">
        <f t="shared" ca="1" si="9"/>
        <v>220</v>
      </c>
      <c r="G58" s="30">
        <f t="shared" ca="1" si="9"/>
        <v>222</v>
      </c>
      <c r="H58" s="30">
        <f t="shared" ca="1" si="9"/>
        <v>222</v>
      </c>
      <c r="I58" s="30">
        <f t="shared" ca="1" si="9"/>
        <v>221</v>
      </c>
      <c r="J58" s="30">
        <f t="shared" ca="1" si="9"/>
        <v>145</v>
      </c>
      <c r="K58" s="30">
        <f t="shared" ca="1" si="9"/>
        <v>135</v>
      </c>
      <c r="L58" s="30" t="str">
        <f t="shared" ca="1" si="9"/>
        <v/>
      </c>
      <c r="M58" s="30" t="str">
        <f t="shared" ca="1" si="9"/>
        <v/>
      </c>
      <c r="N58" s="30" t="str">
        <f t="shared" ca="1" si="9"/>
        <v/>
      </c>
      <c r="O58" s="30" t="str">
        <f t="shared" ca="1" si="9"/>
        <v/>
      </c>
      <c r="P58" s="30" t="str">
        <f t="shared" ca="1" si="9"/>
        <v/>
      </c>
      <c r="Q58" s="30" t="str">
        <f t="shared" ca="1" si="9"/>
        <v/>
      </c>
      <c r="R58" s="30" t="str">
        <f t="shared" ca="1" si="9"/>
        <v/>
      </c>
      <c r="S58" s="30" t="str">
        <f t="shared" ca="1" si="9"/>
        <v/>
      </c>
      <c r="T58" s="30" t="str">
        <f t="shared" ca="1" si="9"/>
        <v/>
      </c>
      <c r="U58" s="30" t="str">
        <f t="shared" ca="1" si="9"/>
        <v/>
      </c>
      <c r="V58" s="30" t="str">
        <f t="shared" ca="1" si="9"/>
        <v/>
      </c>
      <c r="W58" s="30" t="str">
        <f t="shared" ca="1" si="9"/>
        <v/>
      </c>
      <c r="X58" s="30" t="str">
        <f t="shared" ca="1" si="9"/>
        <v/>
      </c>
      <c r="Y58" s="30" t="str">
        <f t="shared" ca="1" si="9"/>
        <v/>
      </c>
      <c r="Z58" s="30" t="str">
        <f t="shared" ca="1" si="9"/>
        <v/>
      </c>
      <c r="AA58" s="30" t="str">
        <f t="shared" ca="1" si="9"/>
        <v/>
      </c>
      <c r="AB58" s="30" t="str">
        <f t="shared" ca="1" si="9"/>
        <v/>
      </c>
      <c r="AC58" s="30" t="str">
        <f t="shared" ca="1" si="9"/>
        <v/>
      </c>
      <c r="AD58" s="30" t="str">
        <f t="shared" ca="1" si="9"/>
        <v/>
      </c>
      <c r="AE58" s="30" t="str">
        <f t="shared" ca="1" si="9"/>
        <v/>
      </c>
      <c r="AF58" s="30" t="str">
        <f t="shared" ca="1" si="9"/>
        <v/>
      </c>
      <c r="AG58" s="30" t="str">
        <f t="shared" ca="1" si="9"/>
        <v/>
      </c>
      <c r="AH58" s="30" t="str">
        <f t="shared" ca="1" si="9"/>
        <v/>
      </c>
      <c r="AI58" s="30" t="str">
        <f t="shared" ca="1" si="9"/>
        <v/>
      </c>
      <c r="AJ58" s="30" t="str">
        <f t="shared" ca="1" si="9"/>
        <v/>
      </c>
      <c r="AK58" s="30" t="str">
        <f t="shared" ca="1" si="9"/>
        <v/>
      </c>
      <c r="AL58" s="30" t="str">
        <f t="shared" ca="1" si="9"/>
        <v/>
      </c>
      <c r="AM58" s="30" t="str">
        <f t="shared" ca="1" si="9"/>
        <v/>
      </c>
      <c r="AN58" s="30" t="str">
        <f t="shared" ca="1" si="9"/>
        <v/>
      </c>
    </row>
    <row r="59" spans="2:40">
      <c r="E59" s="29"/>
      <c r="F59" s="29"/>
      <c r="G59" s="29"/>
      <c r="H59" s="29"/>
    </row>
    <row r="63" spans="2:40">
      <c r="B63" t="s">
        <v>40</v>
      </c>
    </row>
    <row r="65" spans="2:33">
      <c r="B65" t="s">
        <v>41</v>
      </c>
      <c r="C65" t="s">
        <v>42</v>
      </c>
    </row>
    <row r="66" spans="2:33">
      <c r="B66">
        <f ca="1">IF(E66&lt;=INDIRECT("ShipsInfo!E"&amp;$AC$2),INDIRECT(ADDRESS(57,4+INDIRECT("ShipsVE!"&amp;ADDRESS($AC$2*6-1,$E66*2-1)))),NA())</f>
        <v>498</v>
      </c>
      <c r="C66">
        <f ca="1">IF(E66&lt;=INDIRECT("ShipsInfo!E"&amp;$AC$2),INDIRECT(ADDRESS(58,4+INDIRECT("ShipsVE!"&amp;ADDRESS($AC$2*6-1,$E66*2-1)))),NA())</f>
        <v>300</v>
      </c>
      <c r="E66">
        <f>IF(D66&lt;&gt;"C",ROUND(F66/3+0.2,0),60)</f>
        <v>1</v>
      </c>
      <c r="F66">
        <v>1</v>
      </c>
    </row>
    <row r="67" spans="2:33">
      <c r="B67">
        <f ca="1">IF(E67&lt;=INDIRECT("ShipsInfo!E"&amp;$AC$2),INDIRECT(ADDRESS(57,4+INDIRECT("ShipsVE!"&amp;ADDRESS($AC$2*6-1,$E67*2)))),NA())</f>
        <v>368</v>
      </c>
      <c r="C67">
        <f ca="1">IF(E67&lt;=INDIRECT("ShipsInfo!E"&amp;$AC$2),INDIRECT(ADDRESS(58,4+INDIRECT("ShipsVE!"&amp;ADDRESS($AC$2*6-1,$E67*2)))),NA())</f>
        <v>289</v>
      </c>
      <c r="E67">
        <f t="shared" ref="E67:E130" si="10">IF(D67&lt;&gt;"C",ROUND(F67/3+0.2,0),60)</f>
        <v>1</v>
      </c>
      <c r="F67">
        <v>2</v>
      </c>
      <c r="H67" t="s">
        <v>51</v>
      </c>
      <c r="V67" t="s">
        <v>52</v>
      </c>
    </row>
    <row r="68" spans="2:33">
      <c r="E68">
        <f t="shared" si="10"/>
        <v>1</v>
      </c>
      <c r="F68">
        <v>3</v>
      </c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</row>
    <row r="69" spans="2:33">
      <c r="B69">
        <f ca="1">IF(E69&lt;=INDIRECT("ShipsInfo!E"&amp;$AC$2),INDIRECT(ADDRESS(57,4+INDIRECT("ShipsVE!"&amp;ADDRESS($AC$2*6-1,$E69*2-1)))),NA())</f>
        <v>368</v>
      </c>
      <c r="C69">
        <f ca="1">IF(E69&lt;=INDIRECT("ShipsInfo!E"&amp;$AC$2),INDIRECT(ADDRESS(58,4+INDIRECT("ShipsVE!"&amp;ADDRESS($AC$2*6-1,$E69*2-1)))),NA())</f>
        <v>289</v>
      </c>
      <c r="E69">
        <f t="shared" si="10"/>
        <v>2</v>
      </c>
      <c r="F69">
        <v>4</v>
      </c>
      <c r="H69" s="33"/>
      <c r="I69" s="33" t="s">
        <v>49</v>
      </c>
      <c r="J69" s="33" t="s">
        <v>41</v>
      </c>
      <c r="K69" s="33" t="s">
        <v>42</v>
      </c>
      <c r="L69" s="33" t="s">
        <v>50</v>
      </c>
      <c r="M69" s="33"/>
      <c r="N69" s="33"/>
      <c r="O69" s="33"/>
      <c r="P69" s="33"/>
      <c r="Q69" s="33"/>
      <c r="R69" s="33"/>
      <c r="S69" s="33"/>
      <c r="V69" s="33"/>
      <c r="W69" s="33" t="s">
        <v>49</v>
      </c>
      <c r="X69" s="33" t="s">
        <v>41</v>
      </c>
      <c r="Y69" s="33" t="s">
        <v>42</v>
      </c>
      <c r="Z69" s="33" t="s">
        <v>50</v>
      </c>
      <c r="AA69" s="33"/>
      <c r="AB69" s="33"/>
      <c r="AC69" s="33"/>
      <c r="AD69" s="33"/>
      <c r="AE69" s="33"/>
      <c r="AF69" s="33"/>
      <c r="AG69" s="33"/>
    </row>
    <row r="70" spans="2:33">
      <c r="B70">
        <f ca="1">IF(E70&lt;=INDIRECT("ShipsInfo!E"&amp;$AC$2),INDIRECT(ADDRESS(57,4+INDIRECT("ShipsVE!"&amp;ADDRESS($AC$2*6-1,$E70*2)))),NA())</f>
        <v>282</v>
      </c>
      <c r="C70">
        <f ca="1">IF(E70&lt;=INDIRECT("ShipsInfo!E"&amp;$AC$2),INDIRECT(ADDRESS(58,4+INDIRECT("ShipsVE!"&amp;ADDRESS($AC$2*6-1,$E70*2)))),NA())</f>
        <v>220</v>
      </c>
      <c r="E70">
        <f t="shared" si="10"/>
        <v>2</v>
      </c>
      <c r="F70">
        <v>5</v>
      </c>
      <c r="H70" s="33"/>
      <c r="I70" s="33">
        <v>0</v>
      </c>
      <c r="J70" s="33">
        <v>1</v>
      </c>
      <c r="K70" s="33">
        <v>0</v>
      </c>
      <c r="L70" s="33">
        <v>0</v>
      </c>
      <c r="M70" s="33"/>
      <c r="N70" s="33"/>
      <c r="O70" s="33">
        <f t="array" ref="O70:O73">MMULT($G$12:$J$15,MMULT($G$19:$J$22,I70:I73))</f>
        <v>-2.0392304845413265</v>
      </c>
      <c r="P70" s="33">
        <f t="array" ref="P70:P73">MMULT($G$12:$J$15,MMULT($G$19:$J$22,J70:J73))</f>
        <v>-1.3464101615137753</v>
      </c>
      <c r="Q70" s="33">
        <f t="array" ref="Q70:Q73">MMULT($G$12:$J$15,MMULT($G$19:$J$22,K70:K73))</f>
        <v>-2.0392304845413265</v>
      </c>
      <c r="R70" s="33">
        <f t="array" ref="R70:R73">MMULT($G$12:$J$15,MMULT($G$19:$J$22,L70:L73))</f>
        <v>-1.6392304845413266</v>
      </c>
      <c r="S70" s="33"/>
      <c r="V70" s="33"/>
      <c r="W70" s="33">
        <f>C26</f>
        <v>3</v>
      </c>
      <c r="X70" s="35">
        <v>0</v>
      </c>
      <c r="Y70" s="33">
        <f>$W70</f>
        <v>3</v>
      </c>
      <c r="Z70" s="33">
        <f>$W70</f>
        <v>3</v>
      </c>
      <c r="AA70" s="33"/>
      <c r="AB70" s="33"/>
      <c r="AC70" s="33">
        <f t="array" ref="AC70:AC73">MMULT($G$12:$J$15,MMULT($G$19:$J$22,W70:W73))</f>
        <v>-0.76076951545867366</v>
      </c>
      <c r="AD70" s="33">
        <f t="array" ref="AD70:AD73">MMULT($G$12:$J$15,MMULT($G$19:$J$22,X70:X73))</f>
        <v>-2.8392304845413268</v>
      </c>
      <c r="AE70" s="33">
        <f t="array" ref="AE70:AE73">MMULT($G$12:$J$15,MMULT($G$19:$J$22,Y70:Y73))</f>
        <v>-0.76076951545867366</v>
      </c>
      <c r="AF70" s="33">
        <f t="array" ref="AF70:AF73">MMULT($G$12:$J$15,MMULT($G$19:$J$22,Z70:Z73))</f>
        <v>3.923048454132641E-2</v>
      </c>
      <c r="AG70" s="33"/>
    </row>
    <row r="71" spans="2:33">
      <c r="E71">
        <f t="shared" si="10"/>
        <v>2</v>
      </c>
      <c r="F71">
        <v>6</v>
      </c>
      <c r="H71" s="33"/>
      <c r="I71" s="33">
        <v>0</v>
      </c>
      <c r="J71" s="33">
        <v>0</v>
      </c>
      <c r="K71" s="33">
        <v>1</v>
      </c>
      <c r="L71" s="33">
        <v>0</v>
      </c>
      <c r="M71" s="33"/>
      <c r="N71" s="33"/>
      <c r="O71" s="33">
        <v>-0.27451905283832922</v>
      </c>
      <c r="P71" s="33">
        <v>0.15849364905389002</v>
      </c>
      <c r="Q71" s="33">
        <v>0.22548094716167089</v>
      </c>
      <c r="R71" s="33">
        <v>-1.0245190528383292</v>
      </c>
      <c r="S71" s="33"/>
      <c r="V71" s="33"/>
      <c r="W71" s="33">
        <f>D26</f>
        <v>-2.5</v>
      </c>
      <c r="X71" s="33">
        <f>$W71</f>
        <v>-2.5</v>
      </c>
      <c r="Y71" s="35">
        <v>0</v>
      </c>
      <c r="Z71" s="33">
        <f>$W71</f>
        <v>-2.5</v>
      </c>
      <c r="AA71" s="33"/>
      <c r="AB71" s="33"/>
      <c r="AC71" s="33">
        <v>1.2745190528383283</v>
      </c>
      <c r="AD71" s="33">
        <v>-2.4519052838329447E-2</v>
      </c>
      <c r="AE71" s="33">
        <v>2.524519052838329</v>
      </c>
      <c r="AF71" s="33">
        <v>-0.22548094716167166</v>
      </c>
      <c r="AG71" s="33"/>
    </row>
    <row r="72" spans="2:33">
      <c r="B72">
        <f ca="1">IF(E72&lt;=INDIRECT("ShipsInfo!E"&amp;$AC$2),INDIRECT(ADDRESS(57,4+INDIRECT("ShipsVE!"&amp;ADDRESS($AC$2*6-1,$E72*2-1)))),NA())</f>
        <v>282</v>
      </c>
      <c r="C72">
        <f ca="1">IF(E72&lt;=INDIRECT("ShipsInfo!E"&amp;$AC$2),INDIRECT(ADDRESS(58,4+INDIRECT("ShipsVE!"&amp;ADDRESS($AC$2*6-1,$E72*2-1)))),NA())</f>
        <v>220</v>
      </c>
      <c r="E72">
        <f t="shared" si="10"/>
        <v>3</v>
      </c>
      <c r="F72">
        <v>7</v>
      </c>
      <c r="H72" s="33"/>
      <c r="I72" s="33">
        <v>0</v>
      </c>
      <c r="J72" s="33">
        <v>0</v>
      </c>
      <c r="K72" s="33">
        <v>0</v>
      </c>
      <c r="L72" s="33">
        <v>1</v>
      </c>
      <c r="M72" s="33"/>
      <c r="N72" s="33"/>
      <c r="O72" s="33">
        <v>2.6173421845376277</v>
      </c>
      <c r="P72" s="33">
        <v>2.8951199623154054</v>
      </c>
      <c r="Q72" s="33">
        <v>1.6550917358882515</v>
      </c>
      <c r="R72" s="33">
        <v>2.1362169602129386</v>
      </c>
      <c r="S72" s="33"/>
      <c r="V72" s="33"/>
      <c r="W72" s="33">
        <f>E26</f>
        <v>-2</v>
      </c>
      <c r="X72" s="33">
        <f>$W72</f>
        <v>-2</v>
      </c>
      <c r="Y72" s="33">
        <f>$W72</f>
        <v>-2</v>
      </c>
      <c r="Z72" s="35">
        <v>0</v>
      </c>
      <c r="AA72" s="33"/>
      <c r="AB72" s="33"/>
      <c r="AC72" s="33">
        <v>6.8185520881437789</v>
      </c>
      <c r="AD72" s="33">
        <v>5.985218754810445</v>
      </c>
      <c r="AE72" s="33">
        <v>4.4129259665203371</v>
      </c>
      <c r="AF72" s="33">
        <v>5.8563016394944016</v>
      </c>
      <c r="AG72" s="33"/>
    </row>
    <row r="73" spans="2:33">
      <c r="B73">
        <f ca="1">IF(E73&lt;=INDIRECT("ShipsInfo!E"&amp;$AC$2),INDIRECT(ADDRESS(57,4+INDIRECT("ShipsVE!"&amp;ADDRESS($AC$2*6-1,$E73*2)))),NA())</f>
        <v>453</v>
      </c>
      <c r="C73">
        <f ca="1">IF(E73&lt;=INDIRECT("ShipsInfo!E"&amp;$AC$2),INDIRECT(ADDRESS(58,4+INDIRECT("ShipsVE!"&amp;ADDRESS($AC$2*6-1,$E73*2)))),NA())</f>
        <v>222</v>
      </c>
      <c r="E73">
        <f t="shared" si="10"/>
        <v>3</v>
      </c>
      <c r="F73">
        <v>8</v>
      </c>
      <c r="H73" s="33"/>
      <c r="I73" s="33">
        <v>1</v>
      </c>
      <c r="J73" s="33">
        <v>1</v>
      </c>
      <c r="K73" s="33">
        <v>1</v>
      </c>
      <c r="L73" s="33">
        <v>1</v>
      </c>
      <c r="M73" s="33"/>
      <c r="N73" s="33"/>
      <c r="O73" s="33">
        <v>3.3056079660838646</v>
      </c>
      <c r="P73" s="33">
        <v>3.5556079660838646</v>
      </c>
      <c r="Q73" s="33">
        <v>2.4395825622994263</v>
      </c>
      <c r="R73" s="33">
        <v>2.872595264191645</v>
      </c>
      <c r="S73" s="33"/>
      <c r="V73" s="33"/>
      <c r="W73" s="33">
        <v>1</v>
      </c>
      <c r="X73" s="33">
        <v>1</v>
      </c>
      <c r="Y73" s="33">
        <v>1</v>
      </c>
      <c r="Z73" s="33">
        <v>1</v>
      </c>
      <c r="AA73" s="33"/>
      <c r="AB73" s="33"/>
      <c r="AC73" s="33">
        <v>7.0866968793294003</v>
      </c>
      <c r="AD73" s="33">
        <v>6.3366968793294003</v>
      </c>
      <c r="AE73" s="33">
        <v>4.921633369868303</v>
      </c>
      <c r="AF73" s="33">
        <v>6.220671475544961</v>
      </c>
      <c r="AG73" s="33"/>
    </row>
    <row r="74" spans="2:33">
      <c r="E74">
        <f t="shared" si="10"/>
        <v>3</v>
      </c>
      <c r="F74">
        <v>9</v>
      </c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</row>
    <row r="75" spans="2:33">
      <c r="B75">
        <f ca="1">IF(E75&lt;=INDIRECT("ShipsInfo!E"&amp;$AC$2),INDIRECT(ADDRESS(57,4+INDIRECT("ShipsVE!"&amp;ADDRESS($AC$2*6-1,$E75*2-1)))),NA())</f>
        <v>453</v>
      </c>
      <c r="C75">
        <f ca="1">IF(E75&lt;=INDIRECT("ShipsInfo!E"&amp;$AC$2),INDIRECT(ADDRESS(58,4+INDIRECT("ShipsVE!"&amp;ADDRESS($AC$2*6-1,$E75*2-1)))),NA())</f>
        <v>222</v>
      </c>
      <c r="E75">
        <f t="shared" si="10"/>
        <v>4</v>
      </c>
      <c r="F75">
        <v>10</v>
      </c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</row>
    <row r="76" spans="2:33">
      <c r="B76">
        <f ca="1">IF(E76&lt;=INDIRECT("ShipsInfo!E"&amp;$AC$2),INDIRECT(ADDRESS(57,4+INDIRECT("ShipsVE!"&amp;ADDRESS($AC$2*6-1,$E76*2)))),NA())</f>
        <v>498</v>
      </c>
      <c r="C76">
        <f ca="1">IF(E76&lt;=INDIRECT("ShipsInfo!E"&amp;$AC$2),INDIRECT(ADDRESS(58,4+INDIRECT("ShipsVE!"&amp;ADDRESS($AC$2*6-1,$E76*2)))),NA())</f>
        <v>300</v>
      </c>
      <c r="E76">
        <f t="shared" si="10"/>
        <v>4</v>
      </c>
      <c r="F76">
        <v>11</v>
      </c>
      <c r="H76" s="33"/>
      <c r="I76" s="33"/>
      <c r="J76" s="33"/>
      <c r="K76" s="33"/>
      <c r="L76" s="33"/>
      <c r="M76" s="33"/>
      <c r="N76" s="33"/>
      <c r="O76" s="33">
        <f t="shared" ref="O76:R78" si="11">O70/O$73</f>
        <v>-0.61690028141999897</v>
      </c>
      <c r="P76" s="33">
        <f t="shared" si="11"/>
        <v>-0.37867227612179843</v>
      </c>
      <c r="Q76" s="33">
        <f t="shared" si="11"/>
        <v>-0.83589320404850398</v>
      </c>
      <c r="R76" s="33">
        <f t="shared" si="11"/>
        <v>-0.57064442909001656</v>
      </c>
      <c r="S76" s="33"/>
      <c r="V76" s="33"/>
      <c r="W76" s="33"/>
      <c r="X76" s="33"/>
      <c r="Y76" s="33"/>
      <c r="Z76" s="33"/>
      <c r="AA76" s="33"/>
      <c r="AB76" s="33"/>
      <c r="AC76" s="33">
        <f t="shared" ref="AC76:AF78" si="12">AC70/AC$73</f>
        <v>-0.10735177875008303</v>
      </c>
      <c r="AD76" s="33">
        <f t="shared" si="12"/>
        <v>-0.44806159085864256</v>
      </c>
      <c r="AE76" s="33">
        <f t="shared" si="12"/>
        <v>-0.15457663305770192</v>
      </c>
      <c r="AF76" s="33">
        <f t="shared" si="12"/>
        <v>6.30647104505541E-3</v>
      </c>
      <c r="AG76" s="33"/>
    </row>
    <row r="77" spans="2:33">
      <c r="E77">
        <f t="shared" si="10"/>
        <v>4</v>
      </c>
      <c r="F77">
        <v>12</v>
      </c>
      <c r="H77" s="33"/>
      <c r="I77" s="33"/>
      <c r="J77" s="33"/>
      <c r="K77" s="33"/>
      <c r="L77" s="33"/>
      <c r="M77" s="33"/>
      <c r="N77" s="33"/>
      <c r="O77" s="33">
        <f t="shared" si="11"/>
        <v>-8.3046463965159911E-2</v>
      </c>
      <c r="P77" s="33">
        <f t="shared" si="11"/>
        <v>4.45756817303046E-2</v>
      </c>
      <c r="Q77" s="33">
        <f t="shared" si="11"/>
        <v>9.2426036587646379E-2</v>
      </c>
      <c r="R77" s="33">
        <f t="shared" si="11"/>
        <v>-0.3566527681812604</v>
      </c>
      <c r="S77" s="33"/>
      <c r="V77" s="33"/>
      <c r="W77" s="33"/>
      <c r="X77" s="33"/>
      <c r="Y77" s="33"/>
      <c r="Z77" s="33"/>
      <c r="AA77" s="33"/>
      <c r="AB77" s="33"/>
      <c r="AC77" s="33">
        <f t="shared" si="12"/>
        <v>0.17984670073244807</v>
      </c>
      <c r="AD77" s="33">
        <f t="shared" si="12"/>
        <v>-3.8693744241280873E-3</v>
      </c>
      <c r="AE77" s="33">
        <f t="shared" si="12"/>
        <v>0.51294333874891662</v>
      </c>
      <c r="AF77" s="33">
        <f t="shared" si="12"/>
        <v>-3.6247043112322283E-2</v>
      </c>
      <c r="AG77" s="33"/>
    </row>
    <row r="78" spans="2:33">
      <c r="B78">
        <f ca="1">IF(E78&lt;=INDIRECT("ShipsInfo!E"&amp;$AC$2),INDIRECT(ADDRESS(57,4+INDIRECT("ShipsVE!"&amp;ADDRESS($AC$2*6-1,$E78*2-1)))),NA())</f>
        <v>527</v>
      </c>
      <c r="C78">
        <f ca="1">IF(E78&lt;=INDIRECT("ShipsInfo!E"&amp;$AC$2),INDIRECT(ADDRESS(58,4+INDIRECT("ShipsVE!"&amp;ADDRESS($AC$2*6-1,$E78*2-1)))),NA())</f>
        <v>222</v>
      </c>
      <c r="E78">
        <f t="shared" si="10"/>
        <v>5</v>
      </c>
      <c r="F78">
        <v>13</v>
      </c>
      <c r="H78" s="33"/>
      <c r="I78" s="33"/>
      <c r="J78" s="33"/>
      <c r="K78" s="33"/>
      <c r="L78" s="33"/>
      <c r="M78" s="33"/>
      <c r="N78" s="33"/>
      <c r="O78" s="33">
        <f t="shared" si="11"/>
        <v>0.79178844297086393</v>
      </c>
      <c r="P78" s="33">
        <f t="shared" si="11"/>
        <v>0.81424048712099195</v>
      </c>
      <c r="Q78" s="33">
        <f t="shared" si="11"/>
        <v>0.67843235210217534</v>
      </c>
      <c r="R78" s="33">
        <f t="shared" si="11"/>
        <v>0.74365400056247566</v>
      </c>
      <c r="S78" s="33"/>
      <c r="V78" s="33"/>
      <c r="W78" s="33"/>
      <c r="X78" s="33"/>
      <c r="Y78" s="33"/>
      <c r="Z78" s="33"/>
      <c r="AA78" s="33"/>
      <c r="AB78" s="33"/>
      <c r="AC78" s="33">
        <f t="shared" si="12"/>
        <v>0.96216223217226193</v>
      </c>
      <c r="AD78" s="33">
        <f t="shared" si="12"/>
        <v>0.94453291182895405</v>
      </c>
      <c r="AE78" s="33">
        <f t="shared" si="12"/>
        <v>0.8966385008557477</v>
      </c>
      <c r="AF78" s="33">
        <f t="shared" si="12"/>
        <v>0.94142596382352139</v>
      </c>
      <c r="AG78" s="33"/>
    </row>
    <row r="79" spans="2:33">
      <c r="B79">
        <f ca="1">IF(E79&lt;=INDIRECT("ShipsInfo!E"&amp;$AC$2),INDIRECT(ADDRESS(57,4+INDIRECT("ShipsVE!"&amp;ADDRESS($AC$2*6-1,$E79*2)))),NA())</f>
        <v>415</v>
      </c>
      <c r="C79">
        <f ca="1">IF(E79&lt;=INDIRECT("ShipsInfo!E"&amp;$AC$2),INDIRECT(ADDRESS(58,4+INDIRECT("ShipsVE!"&amp;ADDRESS($AC$2*6-1,$E79*2)))),NA())</f>
        <v>221</v>
      </c>
      <c r="E79">
        <f t="shared" si="10"/>
        <v>5</v>
      </c>
      <c r="F79">
        <v>14</v>
      </c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</row>
    <row r="80" spans="2:33">
      <c r="E80">
        <f t="shared" si="10"/>
        <v>5</v>
      </c>
      <c r="F80">
        <v>15</v>
      </c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</row>
    <row r="81" spans="2:33">
      <c r="B81">
        <f ca="1">IF(E81&lt;=INDIRECT("ShipsInfo!E"&amp;$AC$2),INDIRECT(ADDRESS(57,4+INDIRECT("ShipsVE!"&amp;ADDRESS($AC$2*6-1,$E81*2-1)))),NA())</f>
        <v>415</v>
      </c>
      <c r="C81">
        <f ca="1">IF(E81&lt;=INDIRECT("ShipsInfo!E"&amp;$AC$2),INDIRECT(ADDRESS(58,4+INDIRECT("ShipsVE!"&amp;ADDRESS($AC$2*6-1,$E81*2-1)))),NA())</f>
        <v>221</v>
      </c>
      <c r="E81">
        <f t="shared" si="10"/>
        <v>6</v>
      </c>
      <c r="F81">
        <v>16</v>
      </c>
      <c r="H81" s="33"/>
      <c r="I81" s="33"/>
      <c r="J81" s="33"/>
      <c r="K81" s="33"/>
      <c r="L81" s="33"/>
      <c r="M81" s="33"/>
      <c r="N81" s="33"/>
      <c r="O81" s="34">
        <f>ROUND((O76+1)/2*($C$5-1),0)</f>
        <v>184</v>
      </c>
      <c r="P81" s="34">
        <f t="shared" ref="P81:R81" si="13">ROUND((P76+1)/2*($C$5-1),0)</f>
        <v>298</v>
      </c>
      <c r="Q81" s="34">
        <f t="shared" si="13"/>
        <v>79</v>
      </c>
      <c r="R81" s="34">
        <f t="shared" si="13"/>
        <v>206</v>
      </c>
      <c r="S81" s="33"/>
      <c r="V81" s="33"/>
      <c r="W81" s="33"/>
      <c r="X81" s="33"/>
      <c r="Y81" s="33"/>
      <c r="Z81" s="33"/>
      <c r="AA81" s="33"/>
      <c r="AB81" s="33"/>
      <c r="AC81" s="34">
        <f>ROUND((AC76+1)/2*($C$5-1),0)</f>
        <v>428</v>
      </c>
      <c r="AD81" s="34">
        <f t="shared" ref="AD81:AF81" si="14">ROUND((AD76+1)/2*($C$5-1),0)</f>
        <v>265</v>
      </c>
      <c r="AE81" s="34">
        <f t="shared" si="14"/>
        <v>405</v>
      </c>
      <c r="AF81" s="34">
        <f t="shared" si="14"/>
        <v>483</v>
      </c>
      <c r="AG81" s="33"/>
    </row>
    <row r="82" spans="2:33">
      <c r="B82">
        <f ca="1">IF(E82&lt;=INDIRECT("ShipsInfo!E"&amp;$AC$2),INDIRECT(ADDRESS(57,4+INDIRECT("ShipsVE!"&amp;ADDRESS($AC$2*6-1,$E82*2)))),NA())</f>
        <v>361</v>
      </c>
      <c r="C82">
        <f ca="1">IF(E82&lt;=INDIRECT("ShipsInfo!E"&amp;$AC$2),INDIRECT(ADDRESS(58,4+INDIRECT("ShipsVE!"&amp;ADDRESS($AC$2*6-1,$E82*2)))),NA())</f>
        <v>145</v>
      </c>
      <c r="E82">
        <f t="shared" si="10"/>
        <v>6</v>
      </c>
      <c r="F82">
        <v>17</v>
      </c>
      <c r="H82" s="33"/>
      <c r="I82" s="33"/>
      <c r="J82" s="33"/>
      <c r="K82" s="33"/>
      <c r="L82" s="33"/>
      <c r="M82" s="33"/>
      <c r="N82" s="33"/>
      <c r="O82" s="34">
        <f>ROUND((1-O77)/2*($D$5-1),0)</f>
        <v>292</v>
      </c>
      <c r="P82" s="34">
        <f t="shared" ref="P82:R82" si="15">ROUND((1-P77)/2*($D$5-1),0)</f>
        <v>257</v>
      </c>
      <c r="Q82" s="34">
        <f t="shared" si="15"/>
        <v>245</v>
      </c>
      <c r="R82" s="34">
        <f t="shared" si="15"/>
        <v>366</v>
      </c>
      <c r="S82" s="33"/>
      <c r="V82" s="33"/>
      <c r="W82" s="33"/>
      <c r="X82" s="33"/>
      <c r="Y82" s="33"/>
      <c r="Z82" s="33"/>
      <c r="AA82" s="33"/>
      <c r="AB82" s="33"/>
      <c r="AC82" s="34">
        <f>ROUND((1-AC77)/2*($D$5-1),0)</f>
        <v>221</v>
      </c>
      <c r="AD82" s="34">
        <f t="shared" ref="AD82:AF82" si="16">ROUND((1-AD77)/2*($D$5-1),0)</f>
        <v>271</v>
      </c>
      <c r="AE82" s="34">
        <f t="shared" si="16"/>
        <v>131</v>
      </c>
      <c r="AF82" s="34">
        <f t="shared" si="16"/>
        <v>279</v>
      </c>
      <c r="AG82" s="33"/>
    </row>
    <row r="83" spans="2:33">
      <c r="E83">
        <f t="shared" si="10"/>
        <v>6</v>
      </c>
      <c r="F83">
        <v>18</v>
      </c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</row>
    <row r="84" spans="2:33">
      <c r="B84">
        <f ca="1">IF(E84&lt;=INDIRECT("ShipsInfo!E"&amp;$AC$2),INDIRECT(ADDRESS(57,4+INDIRECT("ShipsVE!"&amp;ADDRESS($AC$2*6-1,$E84*2-1)))),NA())</f>
        <v>361</v>
      </c>
      <c r="C84">
        <f ca="1">IF(E84&lt;=INDIRECT("ShipsInfo!E"&amp;$AC$2),INDIRECT(ADDRESS(58,4+INDIRECT("ShipsVE!"&amp;ADDRESS($AC$2*6-1,$E84*2-1)))),NA())</f>
        <v>145</v>
      </c>
      <c r="E84">
        <f t="shared" si="10"/>
        <v>7</v>
      </c>
      <c r="F84">
        <v>19</v>
      </c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</row>
    <row r="85" spans="2:33">
      <c r="B85">
        <f ca="1">IF(E85&lt;=INDIRECT("ShipsInfo!E"&amp;$AC$2),INDIRECT(ADDRESS(57,4+INDIRECT("ShipsVE!"&amp;ADDRESS($AC$2*6-1,$E85*2)))),NA())</f>
        <v>503</v>
      </c>
      <c r="C85">
        <f ca="1">IF(E85&lt;=INDIRECT("ShipsInfo!E"&amp;$AC$2),INDIRECT(ADDRESS(58,4+INDIRECT("ShipsVE!"&amp;ADDRESS($AC$2*6-1,$E85*2)))),NA())</f>
        <v>135</v>
      </c>
      <c r="E85">
        <f t="shared" si="10"/>
        <v>7</v>
      </c>
      <c r="F85">
        <v>20</v>
      </c>
      <c r="H85" s="33"/>
      <c r="I85" s="33"/>
      <c r="J85" s="33"/>
      <c r="K85" s="33"/>
      <c r="L85" s="33"/>
      <c r="M85" s="33"/>
      <c r="N85" s="33"/>
      <c r="O85" s="33" t="s">
        <v>41</v>
      </c>
      <c r="P85" s="33" t="s">
        <v>42</v>
      </c>
      <c r="Q85" s="33"/>
      <c r="R85" s="33"/>
      <c r="S85" s="33"/>
      <c r="V85" s="33"/>
      <c r="W85" s="33"/>
      <c r="X85" s="33"/>
      <c r="Y85" s="33"/>
      <c r="Z85" s="33"/>
      <c r="AA85" s="33"/>
      <c r="AB85" s="33"/>
      <c r="AC85" s="33" t="s">
        <v>41</v>
      </c>
      <c r="AD85" s="33" t="s">
        <v>42</v>
      </c>
      <c r="AE85" s="33"/>
      <c r="AF85" s="33"/>
      <c r="AG85" s="33"/>
    </row>
    <row r="86" spans="2:33">
      <c r="E86">
        <f t="shared" si="10"/>
        <v>7</v>
      </c>
      <c r="F86">
        <v>21</v>
      </c>
      <c r="H86" s="33"/>
      <c r="I86" s="33"/>
      <c r="J86" s="33"/>
      <c r="K86" s="33"/>
      <c r="L86" s="33"/>
      <c r="M86" s="33"/>
      <c r="N86" s="33" t="s">
        <v>41</v>
      </c>
      <c r="O86" s="33"/>
      <c r="P86" s="33"/>
      <c r="Q86" s="33"/>
      <c r="R86" s="33"/>
      <c r="S86" s="33"/>
      <c r="V86" s="33"/>
      <c r="W86" s="33"/>
      <c r="X86" s="33"/>
      <c r="Y86" s="33"/>
      <c r="Z86" s="33"/>
      <c r="AA86" s="33"/>
      <c r="AB86" s="33" t="s">
        <v>41</v>
      </c>
      <c r="AC86" s="33"/>
      <c r="AD86" s="33"/>
      <c r="AE86" s="33"/>
      <c r="AF86" s="33"/>
      <c r="AG86" s="33"/>
    </row>
    <row r="87" spans="2:33">
      <c r="B87">
        <f ca="1">IF(E87&lt;=INDIRECT("ShipsInfo!E"&amp;$AC$2),INDIRECT(ADDRESS(57,4+INDIRECT("ShipsVE!"&amp;ADDRESS($AC$2*6-1,$E87*2-1)))),NA())</f>
        <v>503</v>
      </c>
      <c r="C87">
        <f ca="1">IF(E87&lt;=INDIRECT("ShipsInfo!E"&amp;$AC$2),INDIRECT(ADDRESS(58,4+INDIRECT("ShipsVE!"&amp;ADDRESS($AC$2*6-1,$E87*2-1)))),NA())</f>
        <v>135</v>
      </c>
      <c r="E87">
        <f t="shared" si="10"/>
        <v>8</v>
      </c>
      <c r="F87">
        <v>22</v>
      </c>
      <c r="H87" s="33"/>
      <c r="I87" s="33"/>
      <c r="J87" s="33"/>
      <c r="K87" s="33"/>
      <c r="L87" s="33"/>
      <c r="M87" s="33"/>
      <c r="N87" s="33"/>
      <c r="O87" s="30">
        <f>$O$81</f>
        <v>184</v>
      </c>
      <c r="P87" s="30">
        <f>$O$82</f>
        <v>292</v>
      </c>
      <c r="Q87" s="33"/>
      <c r="R87" s="33"/>
      <c r="S87" s="33"/>
      <c r="V87" s="33"/>
      <c r="W87" s="33"/>
      <c r="X87" s="33"/>
      <c r="Y87" s="33"/>
      <c r="Z87" s="33"/>
      <c r="AA87" s="33"/>
      <c r="AB87" s="33"/>
      <c r="AC87" s="30">
        <f>$AC$81</f>
        <v>428</v>
      </c>
      <c r="AD87" s="30">
        <f>$AC$82</f>
        <v>221</v>
      </c>
      <c r="AE87" s="33"/>
      <c r="AF87" s="33"/>
      <c r="AG87" s="33"/>
    </row>
    <row r="88" spans="2:33">
      <c r="B88">
        <f ca="1">IF(E88&lt;=INDIRECT("ShipsInfo!E"&amp;$AC$2),INDIRECT(ADDRESS(57,4+INDIRECT("ShipsVE!"&amp;ADDRESS($AC$2*6-1,$E88*2)))),NA())</f>
        <v>527</v>
      </c>
      <c r="C88">
        <f ca="1">IF(E88&lt;=INDIRECT("ShipsInfo!E"&amp;$AC$2),INDIRECT(ADDRESS(58,4+INDIRECT("ShipsVE!"&amp;ADDRESS($AC$2*6-1,$E88*2)))),NA())</f>
        <v>222</v>
      </c>
      <c r="E88">
        <f t="shared" si="10"/>
        <v>8</v>
      </c>
      <c r="F88">
        <v>23</v>
      </c>
      <c r="H88" s="33"/>
      <c r="I88" s="33"/>
      <c r="J88" s="33"/>
      <c r="K88" s="33"/>
      <c r="L88" s="33"/>
      <c r="M88" s="33"/>
      <c r="N88" s="33"/>
      <c r="O88" s="30">
        <f>P81</f>
        <v>298</v>
      </c>
      <c r="P88" s="30">
        <f>P82</f>
        <v>257</v>
      </c>
      <c r="Q88" s="33"/>
      <c r="R88" s="33"/>
      <c r="S88" s="33"/>
      <c r="V88" s="33"/>
      <c r="W88" s="33"/>
      <c r="X88" s="33"/>
      <c r="Y88" s="33"/>
      <c r="Z88" s="33"/>
      <c r="AA88" s="33"/>
      <c r="AB88" s="33"/>
      <c r="AC88" s="30">
        <f>AD81</f>
        <v>265</v>
      </c>
      <c r="AD88" s="30">
        <f>AD82</f>
        <v>271</v>
      </c>
      <c r="AE88" s="33"/>
      <c r="AF88" s="33"/>
      <c r="AG88" s="33"/>
    </row>
    <row r="89" spans="2:33">
      <c r="E89">
        <f t="shared" si="10"/>
        <v>8</v>
      </c>
      <c r="F89">
        <v>24</v>
      </c>
      <c r="H89" s="33"/>
      <c r="I89" s="33"/>
      <c r="J89" s="33"/>
      <c r="K89" s="33"/>
      <c r="L89" s="33"/>
      <c r="M89" s="33"/>
      <c r="N89" s="33" t="s">
        <v>42</v>
      </c>
      <c r="O89" s="33"/>
      <c r="P89" s="33"/>
      <c r="Q89" s="33"/>
      <c r="R89" s="33"/>
      <c r="S89" s="33"/>
      <c r="V89" s="33"/>
      <c r="W89" s="33"/>
      <c r="X89" s="33"/>
      <c r="Y89" s="33"/>
      <c r="Z89" s="33"/>
      <c r="AA89" s="33"/>
      <c r="AB89" s="33" t="s">
        <v>42</v>
      </c>
      <c r="AC89" s="33"/>
      <c r="AD89" s="33"/>
      <c r="AE89" s="33"/>
      <c r="AF89" s="33"/>
      <c r="AG89" s="33"/>
    </row>
    <row r="90" spans="2:33">
      <c r="B90">
        <f ca="1">IF(E90&lt;=INDIRECT("ShipsInfo!E"&amp;$AC$2),INDIRECT(ADDRESS(57,4+INDIRECT("ShipsVE!"&amp;ADDRESS($AC$2*6-1,$E90*2-1)))),NA())</f>
        <v>498</v>
      </c>
      <c r="C90">
        <f ca="1">IF(E90&lt;=INDIRECT("ShipsInfo!E"&amp;$AC$2),INDIRECT(ADDRESS(58,4+INDIRECT("ShipsVE!"&amp;ADDRESS($AC$2*6-1,$E90*2-1)))),NA())</f>
        <v>300</v>
      </c>
      <c r="E90">
        <f t="shared" si="10"/>
        <v>9</v>
      </c>
      <c r="F90">
        <v>25</v>
      </c>
      <c r="H90" s="33"/>
      <c r="I90" s="33"/>
      <c r="J90" s="33"/>
      <c r="K90" s="33"/>
      <c r="L90" s="33"/>
      <c r="M90" s="33"/>
      <c r="N90" s="33"/>
      <c r="O90" s="30">
        <f>$O$81</f>
        <v>184</v>
      </c>
      <c r="P90" s="30">
        <f>$O$82</f>
        <v>292</v>
      </c>
      <c r="Q90" s="33"/>
      <c r="R90" s="33"/>
      <c r="S90" s="33"/>
      <c r="V90" s="33"/>
      <c r="W90" s="33"/>
      <c r="X90" s="33"/>
      <c r="Y90" s="33"/>
      <c r="Z90" s="33"/>
      <c r="AA90" s="33"/>
      <c r="AB90" s="33"/>
      <c r="AC90" s="30">
        <f>$AC$81</f>
        <v>428</v>
      </c>
      <c r="AD90" s="30">
        <f>$AC$82</f>
        <v>221</v>
      </c>
      <c r="AE90" s="33"/>
      <c r="AF90" s="33"/>
      <c r="AG90" s="33"/>
    </row>
    <row r="91" spans="2:33">
      <c r="B91">
        <f ca="1">IF(E91&lt;=INDIRECT("ShipsInfo!E"&amp;$AC$2),INDIRECT(ADDRESS(57,4+INDIRECT("ShipsVE!"&amp;ADDRESS($AC$2*6-1,$E91*2)))),NA())</f>
        <v>527</v>
      </c>
      <c r="C91">
        <f ca="1">IF(E91&lt;=INDIRECT("ShipsInfo!E"&amp;$AC$2),INDIRECT(ADDRESS(58,4+INDIRECT("ShipsVE!"&amp;ADDRESS($AC$2*6-1,$E91*2)))),NA())</f>
        <v>222</v>
      </c>
      <c r="E91">
        <f t="shared" si="10"/>
        <v>9</v>
      </c>
      <c r="F91">
        <v>26</v>
      </c>
      <c r="H91" s="33"/>
      <c r="I91" s="33"/>
      <c r="J91" s="33"/>
      <c r="K91" s="33"/>
      <c r="L91" s="33"/>
      <c r="M91" s="33"/>
      <c r="N91" s="33"/>
      <c r="O91" s="30">
        <f>Q81</f>
        <v>79</v>
      </c>
      <c r="P91" s="30">
        <f>Q82</f>
        <v>245</v>
      </c>
      <c r="Q91" s="33"/>
      <c r="R91" s="33"/>
      <c r="S91" s="33"/>
      <c r="V91" s="33"/>
      <c r="W91" s="33"/>
      <c r="X91" s="33"/>
      <c r="Y91" s="33"/>
      <c r="Z91" s="33"/>
      <c r="AA91" s="33"/>
      <c r="AB91" s="33"/>
      <c r="AC91" s="30">
        <f>AE81</f>
        <v>405</v>
      </c>
      <c r="AD91" s="30">
        <f>AE82</f>
        <v>131</v>
      </c>
      <c r="AE91" s="33"/>
      <c r="AF91" s="33"/>
      <c r="AG91" s="33"/>
    </row>
    <row r="92" spans="2:33">
      <c r="E92">
        <f t="shared" si="10"/>
        <v>9</v>
      </c>
      <c r="F92">
        <v>27</v>
      </c>
      <c r="H92" s="33"/>
      <c r="I92" s="33"/>
      <c r="J92" s="33"/>
      <c r="K92" s="33"/>
      <c r="L92" s="33"/>
      <c r="M92" s="33"/>
      <c r="N92" s="33" t="s">
        <v>50</v>
      </c>
      <c r="O92" s="33"/>
      <c r="P92" s="33"/>
      <c r="Q92" s="33"/>
      <c r="R92" s="33"/>
      <c r="S92" s="33"/>
      <c r="V92" s="33"/>
      <c r="W92" s="33"/>
      <c r="X92" s="33"/>
      <c r="Y92" s="33"/>
      <c r="Z92" s="33"/>
      <c r="AA92" s="33"/>
      <c r="AB92" s="33" t="s">
        <v>50</v>
      </c>
      <c r="AC92" s="33"/>
      <c r="AD92" s="33"/>
      <c r="AE92" s="33"/>
      <c r="AF92" s="33"/>
      <c r="AG92" s="33"/>
    </row>
    <row r="93" spans="2:33">
      <c r="B93">
        <f ca="1">IF(E93&lt;=INDIRECT("ShipsInfo!E"&amp;$AC$2),INDIRECT(ADDRESS(57,4+INDIRECT("ShipsVE!"&amp;ADDRESS($AC$2*6-1,$E93*2-1)))),NA())</f>
        <v>368</v>
      </c>
      <c r="C93">
        <f ca="1">IF(E93&lt;=INDIRECT("ShipsInfo!E"&amp;$AC$2),INDIRECT(ADDRESS(58,4+INDIRECT("ShipsVE!"&amp;ADDRESS($AC$2*6-1,$E93*2-1)))),NA())</f>
        <v>289</v>
      </c>
      <c r="E93">
        <f t="shared" si="10"/>
        <v>10</v>
      </c>
      <c r="F93">
        <v>28</v>
      </c>
      <c r="H93" s="33"/>
      <c r="I93" s="33"/>
      <c r="J93" s="33"/>
      <c r="K93" s="33"/>
      <c r="L93" s="33"/>
      <c r="M93" s="33"/>
      <c r="N93" s="33"/>
      <c r="O93" s="30">
        <f>$O$81</f>
        <v>184</v>
      </c>
      <c r="P93" s="30">
        <f>$O$82</f>
        <v>292</v>
      </c>
      <c r="Q93" s="33"/>
      <c r="R93" s="33"/>
      <c r="S93" s="33"/>
      <c r="V93" s="33"/>
      <c r="W93" s="33"/>
      <c r="X93" s="33"/>
      <c r="Y93" s="33"/>
      <c r="Z93" s="33"/>
      <c r="AA93" s="33"/>
      <c r="AB93" s="33"/>
      <c r="AC93" s="30">
        <f>$AC$81</f>
        <v>428</v>
      </c>
      <c r="AD93" s="30">
        <f>$AC$82</f>
        <v>221</v>
      </c>
      <c r="AE93" s="33"/>
      <c r="AF93" s="33"/>
      <c r="AG93" s="33"/>
    </row>
    <row r="94" spans="2:33">
      <c r="B94">
        <f ca="1">IF(E94&lt;=INDIRECT("ShipsInfo!E"&amp;$AC$2),INDIRECT(ADDRESS(57,4+INDIRECT("ShipsVE!"&amp;ADDRESS($AC$2*6-1,$E94*2)))),NA())</f>
        <v>415</v>
      </c>
      <c r="C94">
        <f ca="1">IF(E94&lt;=INDIRECT("ShipsInfo!E"&amp;$AC$2),INDIRECT(ADDRESS(58,4+INDIRECT("ShipsVE!"&amp;ADDRESS($AC$2*6-1,$E94*2)))),NA())</f>
        <v>221</v>
      </c>
      <c r="E94">
        <f t="shared" si="10"/>
        <v>10</v>
      </c>
      <c r="F94">
        <v>29</v>
      </c>
      <c r="H94" s="33"/>
      <c r="I94" s="33"/>
      <c r="J94" s="33"/>
      <c r="K94" s="33"/>
      <c r="L94" s="33"/>
      <c r="M94" s="33"/>
      <c r="N94" s="33"/>
      <c r="O94" s="30">
        <f>R81</f>
        <v>206</v>
      </c>
      <c r="P94" s="30">
        <f>R82</f>
        <v>366</v>
      </c>
      <c r="Q94" s="33"/>
      <c r="R94" s="33"/>
      <c r="S94" s="33"/>
      <c r="V94" s="33"/>
      <c r="W94" s="33"/>
      <c r="X94" s="33"/>
      <c r="Y94" s="33"/>
      <c r="Z94" s="33"/>
      <c r="AA94" s="33"/>
      <c r="AB94" s="33"/>
      <c r="AC94" s="30">
        <f>AF81</f>
        <v>483</v>
      </c>
      <c r="AD94" s="30">
        <f>AF82</f>
        <v>279</v>
      </c>
      <c r="AE94" s="33"/>
      <c r="AF94" s="33"/>
      <c r="AG94" s="33"/>
    </row>
    <row r="95" spans="2:33">
      <c r="E95">
        <f t="shared" si="10"/>
        <v>10</v>
      </c>
      <c r="F95">
        <v>30</v>
      </c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</row>
    <row r="96" spans="2:33">
      <c r="B96">
        <f ca="1">IF(E96&lt;=INDIRECT("ShipsInfo!E"&amp;$AC$2),INDIRECT(ADDRESS(57,4+INDIRECT("ShipsVE!"&amp;ADDRESS($AC$2*6-1,$E96*2-1)))),NA())</f>
        <v>282</v>
      </c>
      <c r="C96">
        <f ca="1">IF(E96&lt;=INDIRECT("ShipsInfo!E"&amp;$AC$2),INDIRECT(ADDRESS(58,4+INDIRECT("ShipsVE!"&amp;ADDRESS($AC$2*6-1,$E96*2-1)))),NA())</f>
        <v>220</v>
      </c>
      <c r="E96">
        <f t="shared" si="10"/>
        <v>11</v>
      </c>
      <c r="F96">
        <v>31</v>
      </c>
    </row>
    <row r="97" spans="2:6">
      <c r="B97">
        <f ca="1">IF(E97&lt;=INDIRECT("ShipsInfo!E"&amp;$AC$2),INDIRECT(ADDRESS(57,4+INDIRECT("ShipsVE!"&amp;ADDRESS($AC$2*6-1,$E97*2)))),NA())</f>
        <v>361</v>
      </c>
      <c r="C97">
        <f ca="1">IF(E97&lt;=INDIRECT("ShipsInfo!E"&amp;$AC$2),INDIRECT(ADDRESS(58,4+INDIRECT("ShipsVE!"&amp;ADDRESS($AC$2*6-1,$E97*2)))),NA())</f>
        <v>145</v>
      </c>
      <c r="E97">
        <f t="shared" si="10"/>
        <v>11</v>
      </c>
      <c r="F97">
        <v>32</v>
      </c>
    </row>
    <row r="98" spans="2:6">
      <c r="E98">
        <f t="shared" si="10"/>
        <v>11</v>
      </c>
      <c r="F98">
        <v>33</v>
      </c>
    </row>
    <row r="99" spans="2:6">
      <c r="B99">
        <f ca="1">IF(E99&lt;=INDIRECT("ShipsInfo!E"&amp;$AC$2),INDIRECT(ADDRESS(57,4+INDIRECT("ShipsVE!"&amp;ADDRESS($AC$2*6-1,$E99*2-1)))),NA())</f>
        <v>453</v>
      </c>
      <c r="C99">
        <f ca="1">IF(E99&lt;=INDIRECT("ShipsInfo!E"&amp;$AC$2),INDIRECT(ADDRESS(58,4+INDIRECT("ShipsVE!"&amp;ADDRESS($AC$2*6-1,$E99*2-1)))),NA())</f>
        <v>222</v>
      </c>
      <c r="E99">
        <f t="shared" si="10"/>
        <v>12</v>
      </c>
      <c r="F99">
        <v>34</v>
      </c>
    </row>
    <row r="100" spans="2:6">
      <c r="B100">
        <f ca="1">IF(E100&lt;=INDIRECT("ShipsInfo!E"&amp;$AC$2),INDIRECT(ADDRESS(57,4+INDIRECT("ShipsVE!"&amp;ADDRESS($AC$2*6-1,$E100*2)))),NA())</f>
        <v>503</v>
      </c>
      <c r="C100">
        <f ca="1">IF(E100&lt;=INDIRECT("ShipsInfo!E"&amp;$AC$2),INDIRECT(ADDRESS(58,4+INDIRECT("ShipsVE!"&amp;ADDRESS($AC$2*6-1,$E100*2)))),NA())</f>
        <v>135</v>
      </c>
      <c r="E100">
        <f t="shared" si="10"/>
        <v>12</v>
      </c>
      <c r="F100">
        <v>35</v>
      </c>
    </row>
    <row r="101" spans="2:6">
      <c r="E101">
        <f t="shared" si="10"/>
        <v>12</v>
      </c>
      <c r="F101">
        <v>36</v>
      </c>
    </row>
    <row r="102" spans="2:6">
      <c r="B102" t="e">
        <f ca="1">IF(E102&lt;=INDIRECT("ShipsInfo!E"&amp;$AC$2),INDIRECT(ADDRESS(57,4+INDIRECT("ShipsVE!"&amp;ADDRESS($AC$2*6-1,$E102*2-1)))),NA())</f>
        <v>#N/A</v>
      </c>
      <c r="C102" t="e">
        <f ca="1">IF(E102&lt;=INDIRECT("ShipsInfo!E"&amp;$AC$2),INDIRECT(ADDRESS(58,4+INDIRECT("ShipsVE!"&amp;ADDRESS($AC$2*6-1,$E102*2-1)))),NA())</f>
        <v>#N/A</v>
      </c>
      <c r="E102">
        <f t="shared" si="10"/>
        <v>13</v>
      </c>
      <c r="F102">
        <v>37</v>
      </c>
    </row>
    <row r="103" spans="2:6">
      <c r="B103" t="e">
        <f ca="1">IF(E103&lt;=INDIRECT("ShipsInfo!E"&amp;$AC$2),INDIRECT(ADDRESS(57,4+INDIRECT("ShipsVE!"&amp;ADDRESS($AC$2*6-1,$E103*2)))),NA())</f>
        <v>#N/A</v>
      </c>
      <c r="C103" t="e">
        <f ca="1">IF(E103&lt;=INDIRECT("ShipsInfo!E"&amp;$AC$2),INDIRECT(ADDRESS(58,4+INDIRECT("ShipsVE!"&amp;ADDRESS($AC$2*6-1,$E103*2)))),NA())</f>
        <v>#N/A</v>
      </c>
      <c r="E103">
        <f t="shared" si="10"/>
        <v>13</v>
      </c>
      <c r="F103">
        <v>38</v>
      </c>
    </row>
    <row r="104" spans="2:6">
      <c r="E104">
        <f t="shared" si="10"/>
        <v>13</v>
      </c>
      <c r="F104">
        <v>39</v>
      </c>
    </row>
    <row r="105" spans="2:6">
      <c r="B105" t="e">
        <f ca="1">IF(E105&lt;=INDIRECT("ShipsInfo!E"&amp;$AC$2),INDIRECT(ADDRESS(57,4+INDIRECT("ShipsVE!"&amp;ADDRESS($AC$2*6-1,$E105*2-1)))),NA())</f>
        <v>#N/A</v>
      </c>
      <c r="C105" t="e">
        <f ca="1">IF(E105&lt;=INDIRECT("ShipsInfo!E"&amp;$AC$2),INDIRECT(ADDRESS(58,4+INDIRECT("ShipsVE!"&amp;ADDRESS($AC$2*6-1,$E105*2-1)))),NA())</f>
        <v>#N/A</v>
      </c>
      <c r="E105">
        <f t="shared" si="10"/>
        <v>14</v>
      </c>
      <c r="F105">
        <v>40</v>
      </c>
    </row>
    <row r="106" spans="2:6">
      <c r="B106" t="e">
        <f ca="1">IF(E106&lt;=INDIRECT("ShipsInfo!E"&amp;$AC$2),INDIRECT(ADDRESS(57,4+INDIRECT("ShipsVE!"&amp;ADDRESS($AC$2*6-1,$E106*2)))),NA())</f>
        <v>#N/A</v>
      </c>
      <c r="C106" t="e">
        <f ca="1">IF(E106&lt;=INDIRECT("ShipsInfo!E"&amp;$AC$2),INDIRECT(ADDRESS(58,4+INDIRECT("ShipsVE!"&amp;ADDRESS($AC$2*6-1,$E106*2)))),NA())</f>
        <v>#N/A</v>
      </c>
      <c r="E106">
        <f t="shared" si="10"/>
        <v>14</v>
      </c>
      <c r="F106">
        <v>41</v>
      </c>
    </row>
    <row r="107" spans="2:6">
      <c r="E107">
        <f t="shared" si="10"/>
        <v>14</v>
      </c>
      <c r="F107">
        <v>42</v>
      </c>
    </row>
    <row r="108" spans="2:6">
      <c r="B108" t="e">
        <f ca="1">IF(E108&lt;=INDIRECT("ShipsInfo!E"&amp;$AC$2),INDIRECT(ADDRESS(57,4+INDIRECT("ShipsVE!"&amp;ADDRESS($AC$2*6-1,$E108*2-1)))),NA())</f>
        <v>#N/A</v>
      </c>
      <c r="C108" t="e">
        <f ca="1">IF(E108&lt;=INDIRECT("ShipsInfo!E"&amp;$AC$2),INDIRECT(ADDRESS(58,4+INDIRECT("ShipsVE!"&amp;ADDRESS($AC$2*6-1,$E108*2-1)))),NA())</f>
        <v>#N/A</v>
      </c>
      <c r="E108">
        <f t="shared" si="10"/>
        <v>15</v>
      </c>
      <c r="F108">
        <v>43</v>
      </c>
    </row>
    <row r="109" spans="2:6">
      <c r="B109" t="e">
        <f ca="1">IF(E109&lt;=INDIRECT("ShipsInfo!E"&amp;$AC$2),INDIRECT(ADDRESS(57,4+INDIRECT("ShipsVE!"&amp;ADDRESS($AC$2*6-1,$E109*2)))),NA())</f>
        <v>#N/A</v>
      </c>
      <c r="C109" t="e">
        <f ca="1">IF(E109&lt;=INDIRECT("ShipsInfo!E"&amp;$AC$2),INDIRECT(ADDRESS(58,4+INDIRECT("ShipsVE!"&amp;ADDRESS($AC$2*6-1,$E109*2)))),NA())</f>
        <v>#N/A</v>
      </c>
      <c r="E109">
        <f t="shared" si="10"/>
        <v>15</v>
      </c>
      <c r="F109">
        <v>44</v>
      </c>
    </row>
    <row r="110" spans="2:6">
      <c r="E110">
        <f t="shared" si="10"/>
        <v>15</v>
      </c>
      <c r="F110">
        <v>45</v>
      </c>
    </row>
    <row r="111" spans="2:6">
      <c r="B111" t="e">
        <f ca="1">IF(E111&lt;=INDIRECT("ShipsInfo!E"&amp;$AC$2),INDIRECT(ADDRESS(57,4+INDIRECT("ShipsVE!"&amp;ADDRESS($AC$2*6-1,$E111*2-1)))),NA())</f>
        <v>#N/A</v>
      </c>
      <c r="C111" t="e">
        <f ca="1">IF(E111&lt;=INDIRECT("ShipsInfo!E"&amp;$AC$2),INDIRECT(ADDRESS(58,4+INDIRECT("ShipsVE!"&amp;ADDRESS($AC$2*6-1,$E111*2-1)))),NA())</f>
        <v>#N/A</v>
      </c>
      <c r="E111">
        <f t="shared" si="10"/>
        <v>16</v>
      </c>
      <c r="F111">
        <v>46</v>
      </c>
    </row>
    <row r="112" spans="2:6">
      <c r="B112" t="e">
        <f ca="1">IF(E112&lt;=INDIRECT("ShipsInfo!E"&amp;$AC$2),INDIRECT(ADDRESS(57,4+INDIRECT("ShipsVE!"&amp;ADDRESS($AC$2*6-1,$E112*2)))),NA())</f>
        <v>#N/A</v>
      </c>
      <c r="C112" t="e">
        <f ca="1">IF(E112&lt;=INDIRECT("ShipsInfo!E"&amp;$AC$2),INDIRECT(ADDRESS(58,4+INDIRECT("ShipsVE!"&amp;ADDRESS($AC$2*6-1,$E112*2)))),NA())</f>
        <v>#N/A</v>
      </c>
      <c r="E112">
        <f t="shared" si="10"/>
        <v>16</v>
      </c>
      <c r="F112">
        <v>47</v>
      </c>
    </row>
    <row r="113" spans="2:6">
      <c r="E113">
        <f t="shared" si="10"/>
        <v>16</v>
      </c>
      <c r="F113">
        <v>48</v>
      </c>
    </row>
    <row r="114" spans="2:6">
      <c r="B114" t="e">
        <f ca="1">IF(E114&lt;=INDIRECT("ShipsInfo!E"&amp;$AC$2),INDIRECT(ADDRESS(57,4+INDIRECT("ShipsVE!"&amp;ADDRESS($AC$2*6-1,$E114*2-1)))),NA())</f>
        <v>#N/A</v>
      </c>
      <c r="C114" t="e">
        <f ca="1">IF(E114&lt;=INDIRECT("ShipsInfo!E"&amp;$AC$2),INDIRECT(ADDRESS(58,4+INDIRECT("ShipsVE!"&amp;ADDRESS($AC$2*6-1,$E114*2-1)))),NA())</f>
        <v>#N/A</v>
      </c>
      <c r="E114">
        <f t="shared" si="10"/>
        <v>17</v>
      </c>
      <c r="F114">
        <v>49</v>
      </c>
    </row>
    <row r="115" spans="2:6">
      <c r="B115" t="e">
        <f ca="1">IF(E115&lt;=INDIRECT("ShipsInfo!E"&amp;$AC$2),INDIRECT(ADDRESS(57,4+INDIRECT("ShipsVE!"&amp;ADDRESS($AC$2*6-1,$E115*2)))),NA())</f>
        <v>#N/A</v>
      </c>
      <c r="C115" t="e">
        <f ca="1">IF(E115&lt;=INDIRECT("ShipsInfo!E"&amp;$AC$2),INDIRECT(ADDRESS(58,4+INDIRECT("ShipsVE!"&amp;ADDRESS($AC$2*6-1,$E115*2)))),NA())</f>
        <v>#N/A</v>
      </c>
      <c r="E115">
        <f t="shared" si="10"/>
        <v>17</v>
      </c>
      <c r="F115">
        <v>50</v>
      </c>
    </row>
    <row r="116" spans="2:6">
      <c r="E116">
        <f t="shared" si="10"/>
        <v>17</v>
      </c>
      <c r="F116">
        <v>51</v>
      </c>
    </row>
    <row r="117" spans="2:6">
      <c r="B117" t="e">
        <f ca="1">IF(E117&lt;=INDIRECT("ShipsInfo!E"&amp;$AC$2),INDIRECT(ADDRESS(57,4+INDIRECT("ShipsVE!"&amp;ADDRESS($AC$2*6-1,$E117*2-1)))),NA())</f>
        <v>#N/A</v>
      </c>
      <c r="C117" t="e">
        <f ca="1">IF(E117&lt;=INDIRECT("ShipsInfo!E"&amp;$AC$2),INDIRECT(ADDRESS(58,4+INDIRECT("ShipsVE!"&amp;ADDRESS($AC$2*6-1,$E117*2-1)))),NA())</f>
        <v>#N/A</v>
      </c>
      <c r="E117">
        <f t="shared" si="10"/>
        <v>18</v>
      </c>
      <c r="F117">
        <v>52</v>
      </c>
    </row>
    <row r="118" spans="2:6">
      <c r="B118" t="e">
        <f ca="1">IF(E118&lt;=INDIRECT("ShipsInfo!E"&amp;$AC$2),INDIRECT(ADDRESS(57,4+INDIRECT("ShipsVE!"&amp;ADDRESS($AC$2*6-1,$E118*2)))),NA())</f>
        <v>#N/A</v>
      </c>
      <c r="C118" t="e">
        <f ca="1">IF(E118&lt;=INDIRECT("ShipsInfo!E"&amp;$AC$2),INDIRECT(ADDRESS(58,4+INDIRECT("ShipsVE!"&amp;ADDRESS($AC$2*6-1,$E118*2)))),NA())</f>
        <v>#N/A</v>
      </c>
      <c r="E118">
        <f t="shared" si="10"/>
        <v>18</v>
      </c>
      <c r="F118">
        <v>53</v>
      </c>
    </row>
    <row r="119" spans="2:6">
      <c r="E119">
        <f t="shared" si="10"/>
        <v>18</v>
      </c>
      <c r="F119">
        <v>54</v>
      </c>
    </row>
    <row r="120" spans="2:6">
      <c r="B120" t="e">
        <f ca="1">IF(E120&lt;=INDIRECT("ShipsInfo!E"&amp;$AC$2),INDIRECT(ADDRESS(57,4+INDIRECT("ShipsVE!"&amp;ADDRESS($AC$2*6-1,$E120*2-1)))),NA())</f>
        <v>#N/A</v>
      </c>
      <c r="C120" t="e">
        <f ca="1">IF(E120&lt;=INDIRECT("ShipsInfo!E"&amp;$AC$2),INDIRECT(ADDRESS(58,4+INDIRECT("ShipsVE!"&amp;ADDRESS($AC$2*6-1,$E120*2-1)))),NA())</f>
        <v>#N/A</v>
      </c>
      <c r="E120">
        <f t="shared" si="10"/>
        <v>19</v>
      </c>
      <c r="F120">
        <v>55</v>
      </c>
    </row>
    <row r="121" spans="2:6">
      <c r="B121" t="e">
        <f ca="1">IF(E121&lt;=INDIRECT("ShipsInfo!E"&amp;$AC$2),INDIRECT(ADDRESS(57,4+INDIRECT("ShipsVE!"&amp;ADDRESS($AC$2*6-1,$E121*2)))),NA())</f>
        <v>#N/A</v>
      </c>
      <c r="C121" t="e">
        <f ca="1">IF(E121&lt;=INDIRECT("ShipsInfo!E"&amp;$AC$2),INDIRECT(ADDRESS(58,4+INDIRECT("ShipsVE!"&amp;ADDRESS($AC$2*6-1,$E121*2)))),NA())</f>
        <v>#N/A</v>
      </c>
      <c r="E121">
        <f t="shared" si="10"/>
        <v>19</v>
      </c>
      <c r="F121">
        <v>56</v>
      </c>
    </row>
    <row r="122" spans="2:6">
      <c r="E122">
        <f t="shared" si="10"/>
        <v>19</v>
      </c>
      <c r="F122">
        <v>57</v>
      </c>
    </row>
    <row r="123" spans="2:6">
      <c r="B123" t="e">
        <f ca="1">IF(E123&lt;=INDIRECT("ShipsInfo!E"&amp;$AC$2),INDIRECT(ADDRESS(57,4+INDIRECT("ShipsVE!"&amp;ADDRESS($AC$2*6-1,$E123*2-1)))),NA())</f>
        <v>#N/A</v>
      </c>
      <c r="C123" t="e">
        <f ca="1">IF(E123&lt;=INDIRECT("ShipsInfo!E"&amp;$AC$2),INDIRECT(ADDRESS(58,4+INDIRECT("ShipsVE!"&amp;ADDRESS($AC$2*6-1,$E123*2-1)))),NA())</f>
        <v>#N/A</v>
      </c>
      <c r="E123">
        <f t="shared" si="10"/>
        <v>20</v>
      </c>
      <c r="F123">
        <v>58</v>
      </c>
    </row>
    <row r="124" spans="2:6">
      <c r="B124" t="e">
        <f ca="1">IF(E124&lt;=INDIRECT("ShipsInfo!E"&amp;$AC$2),INDIRECT(ADDRESS(57,4+INDIRECT("ShipsVE!"&amp;ADDRESS($AC$2*6-1,$E124*2)))),NA())</f>
        <v>#N/A</v>
      </c>
      <c r="C124" t="e">
        <f ca="1">IF(E124&lt;=INDIRECT("ShipsInfo!E"&amp;$AC$2),INDIRECT(ADDRESS(58,4+INDIRECT("ShipsVE!"&amp;ADDRESS($AC$2*6-1,$E124*2)))),NA())</f>
        <v>#N/A</v>
      </c>
      <c r="E124">
        <f t="shared" si="10"/>
        <v>20</v>
      </c>
      <c r="F124">
        <v>59</v>
      </c>
    </row>
    <row r="125" spans="2:6">
      <c r="E125">
        <f t="shared" si="10"/>
        <v>20</v>
      </c>
      <c r="F125">
        <v>60</v>
      </c>
    </row>
    <row r="126" spans="2:6">
      <c r="B126" t="e">
        <f ca="1">IF(E126&lt;=INDIRECT("ShipsInfo!E"&amp;$AC$2),INDIRECT(ADDRESS(57,4+INDIRECT("ShipsVE!"&amp;ADDRESS($AC$2*6-1,$E126*2-1)))),NA())</f>
        <v>#N/A</v>
      </c>
      <c r="C126" t="e">
        <f ca="1">IF(E126&lt;=INDIRECT("ShipsInfo!E"&amp;$AC$2),INDIRECT(ADDRESS(58,4+INDIRECT("ShipsVE!"&amp;ADDRESS($AC$2*6-1,$E126*2-1)))),NA())</f>
        <v>#N/A</v>
      </c>
      <c r="E126">
        <f t="shared" si="10"/>
        <v>21</v>
      </c>
      <c r="F126">
        <v>61</v>
      </c>
    </row>
    <row r="127" spans="2:6">
      <c r="B127" t="e">
        <f ca="1">IF(E127&lt;=INDIRECT("ShipsInfo!E"&amp;$AC$2),INDIRECT(ADDRESS(57,4+INDIRECT("ShipsVE!"&amp;ADDRESS($AC$2*6-1,$E127*2)))),NA())</f>
        <v>#N/A</v>
      </c>
      <c r="C127" t="e">
        <f ca="1">IF(E127&lt;=INDIRECT("ShipsInfo!E"&amp;$AC$2),INDIRECT(ADDRESS(58,4+INDIRECT("ShipsVE!"&amp;ADDRESS($AC$2*6-1,$E127*2)))),NA())</f>
        <v>#N/A</v>
      </c>
      <c r="E127">
        <f t="shared" si="10"/>
        <v>21</v>
      </c>
      <c r="F127">
        <v>62</v>
      </c>
    </row>
    <row r="128" spans="2:6">
      <c r="E128">
        <f t="shared" si="10"/>
        <v>21</v>
      </c>
      <c r="F128">
        <v>63</v>
      </c>
    </row>
    <row r="129" spans="2:6">
      <c r="B129" t="e">
        <f ca="1">IF(E129&lt;=INDIRECT("ShipsInfo!E"&amp;$AC$2),INDIRECT(ADDRESS(57,4+INDIRECT("ShipsVE!"&amp;ADDRESS($AC$2*6-1,$E129*2-1)))),NA())</f>
        <v>#N/A</v>
      </c>
      <c r="C129" t="e">
        <f ca="1">IF(E129&lt;=INDIRECT("ShipsInfo!E"&amp;$AC$2),INDIRECT(ADDRESS(58,4+INDIRECT("ShipsVE!"&amp;ADDRESS($AC$2*6-1,$E129*2-1)))),NA())</f>
        <v>#N/A</v>
      </c>
      <c r="E129">
        <f t="shared" si="10"/>
        <v>22</v>
      </c>
      <c r="F129">
        <v>64</v>
      </c>
    </row>
    <row r="130" spans="2:6">
      <c r="B130" t="e">
        <f ca="1">IF(E130&lt;=INDIRECT("ShipsInfo!E"&amp;$AC$2),INDIRECT(ADDRESS(57,4+INDIRECT("ShipsVE!"&amp;ADDRESS($AC$2*6-1,$E130*2)))),NA())</f>
        <v>#N/A</v>
      </c>
      <c r="C130" t="e">
        <f ca="1">IF(E130&lt;=INDIRECT("ShipsInfo!E"&amp;$AC$2),INDIRECT(ADDRESS(58,4+INDIRECT("ShipsVE!"&amp;ADDRESS($AC$2*6-1,$E130*2)))),NA())</f>
        <v>#N/A</v>
      </c>
      <c r="E130">
        <f t="shared" si="10"/>
        <v>22</v>
      </c>
      <c r="F130">
        <v>65</v>
      </c>
    </row>
    <row r="131" spans="2:6">
      <c r="E131">
        <f t="shared" ref="E131:E176" si="17">IF(D131&lt;&gt;"C",ROUND(F131/3+0.2,0),60)</f>
        <v>22</v>
      </c>
      <c r="F131">
        <v>66</v>
      </c>
    </row>
    <row r="132" spans="2:6">
      <c r="B132" t="e">
        <f ca="1">IF(E132&lt;=INDIRECT("ShipsInfo!E"&amp;$AC$2),INDIRECT(ADDRESS(57,4+INDIRECT("ShipsVE!"&amp;ADDRESS($AC$2*6-1,$E132*2-1)))),NA())</f>
        <v>#N/A</v>
      </c>
      <c r="C132" t="e">
        <f ca="1">IF(E132&lt;=INDIRECT("ShipsInfo!E"&amp;$AC$2),INDIRECT(ADDRESS(58,4+INDIRECT("ShipsVE!"&amp;ADDRESS($AC$2*6-1,$E132*2-1)))),NA())</f>
        <v>#N/A</v>
      </c>
      <c r="E132">
        <f t="shared" si="17"/>
        <v>23</v>
      </c>
      <c r="F132">
        <v>67</v>
      </c>
    </row>
    <row r="133" spans="2:6">
      <c r="B133" t="e">
        <f ca="1">IF(E133&lt;=INDIRECT("ShipsInfo!E"&amp;$AC$2),INDIRECT(ADDRESS(57,4+INDIRECT("ShipsVE!"&amp;ADDRESS($AC$2*6-1,$E133*2)))),NA())</f>
        <v>#N/A</v>
      </c>
      <c r="C133" t="e">
        <f ca="1">IF(E133&lt;=INDIRECT("ShipsInfo!E"&amp;$AC$2),INDIRECT(ADDRESS(58,4+INDIRECT("ShipsVE!"&amp;ADDRESS($AC$2*6-1,$E133*2)))),NA())</f>
        <v>#N/A</v>
      </c>
      <c r="E133">
        <f t="shared" si="17"/>
        <v>23</v>
      </c>
      <c r="F133">
        <v>68</v>
      </c>
    </row>
    <row r="134" spans="2:6">
      <c r="E134">
        <f t="shared" si="17"/>
        <v>23</v>
      </c>
      <c r="F134">
        <v>69</v>
      </c>
    </row>
    <row r="135" spans="2:6">
      <c r="B135" t="e">
        <f ca="1">IF(E135&lt;=INDIRECT("ShipsInfo!E"&amp;$AC$2),INDIRECT(ADDRESS(57,4+INDIRECT("ShipsVE!"&amp;ADDRESS($AC$2*6-1,$E135*2-1)))),NA())</f>
        <v>#N/A</v>
      </c>
      <c r="C135" t="e">
        <f ca="1">IF(E135&lt;=INDIRECT("ShipsInfo!E"&amp;$AC$2),INDIRECT(ADDRESS(58,4+INDIRECT("ShipsVE!"&amp;ADDRESS($AC$2*6-1,$E135*2-1)))),NA())</f>
        <v>#N/A</v>
      </c>
      <c r="E135">
        <f t="shared" si="17"/>
        <v>24</v>
      </c>
      <c r="F135">
        <v>70</v>
      </c>
    </row>
    <row r="136" spans="2:6">
      <c r="B136" t="e">
        <f ca="1">IF(E136&lt;=INDIRECT("ShipsInfo!E"&amp;$AC$2),INDIRECT(ADDRESS(57,4+INDIRECT("ShipsVE!"&amp;ADDRESS($AC$2*6-1,$E136*2)))),NA())</f>
        <v>#N/A</v>
      </c>
      <c r="C136" t="e">
        <f ca="1">IF(E136&lt;=INDIRECT("ShipsInfo!E"&amp;$AC$2),INDIRECT(ADDRESS(58,4+INDIRECT("ShipsVE!"&amp;ADDRESS($AC$2*6-1,$E136*2)))),NA())</f>
        <v>#N/A</v>
      </c>
      <c r="E136">
        <f t="shared" si="17"/>
        <v>24</v>
      </c>
      <c r="F136">
        <v>71</v>
      </c>
    </row>
    <row r="137" spans="2:6">
      <c r="E137">
        <f t="shared" si="17"/>
        <v>24</v>
      </c>
      <c r="F137">
        <v>72</v>
      </c>
    </row>
    <row r="138" spans="2:6">
      <c r="B138" t="e">
        <f ca="1">IF(E138&lt;=INDIRECT("ShipsInfo!E"&amp;$AC$2),INDIRECT(ADDRESS(57,4+INDIRECT("ShipsVE!"&amp;ADDRESS($AC$2*6-1,$E138*2-1)))),NA())</f>
        <v>#N/A</v>
      </c>
      <c r="C138" t="e">
        <f ca="1">IF(E138&lt;=INDIRECT("ShipsInfo!E"&amp;$AC$2),INDIRECT(ADDRESS(58,4+INDIRECT("ShipsVE!"&amp;ADDRESS($AC$2*6-1,$E138*2-1)))),NA())</f>
        <v>#N/A</v>
      </c>
      <c r="E138">
        <f t="shared" si="17"/>
        <v>25</v>
      </c>
      <c r="F138">
        <v>73</v>
      </c>
    </row>
    <row r="139" spans="2:6">
      <c r="B139" t="e">
        <f ca="1">IF(E139&lt;=INDIRECT("ShipsInfo!E"&amp;$AC$2),INDIRECT(ADDRESS(57,4+INDIRECT("ShipsVE!"&amp;ADDRESS($AC$2*6-1,$E139*2)))),NA())</f>
        <v>#N/A</v>
      </c>
      <c r="C139" t="e">
        <f ca="1">IF(E139&lt;=INDIRECT("ShipsInfo!E"&amp;$AC$2),INDIRECT(ADDRESS(58,4+INDIRECT("ShipsVE!"&amp;ADDRESS($AC$2*6-1,$E139*2)))),NA())</f>
        <v>#N/A</v>
      </c>
      <c r="E139">
        <f t="shared" si="17"/>
        <v>25</v>
      </c>
      <c r="F139">
        <v>74</v>
      </c>
    </row>
    <row r="140" spans="2:6">
      <c r="E140">
        <f t="shared" si="17"/>
        <v>25</v>
      </c>
      <c r="F140">
        <v>75</v>
      </c>
    </row>
    <row r="141" spans="2:6">
      <c r="B141" t="e">
        <f ca="1">IF(E141&lt;=INDIRECT("ShipsInfo!E"&amp;$AC$2),INDIRECT(ADDRESS(57,4+INDIRECT("ShipsVE!"&amp;ADDRESS($AC$2*6-1,$E141*2-1)))),NA())</f>
        <v>#N/A</v>
      </c>
      <c r="C141" t="e">
        <f ca="1">IF(E141&lt;=INDIRECT("ShipsInfo!E"&amp;$AC$2),INDIRECT(ADDRESS(58,4+INDIRECT("ShipsVE!"&amp;ADDRESS($AC$2*6-1,$E141*2-1)))),NA())</f>
        <v>#N/A</v>
      </c>
      <c r="E141">
        <f t="shared" si="17"/>
        <v>26</v>
      </c>
      <c r="F141">
        <v>76</v>
      </c>
    </row>
    <row r="142" spans="2:6">
      <c r="B142" t="e">
        <f ca="1">IF(E142&lt;=INDIRECT("ShipsInfo!E"&amp;$AC$2),INDIRECT(ADDRESS(57,4+INDIRECT("ShipsVE!"&amp;ADDRESS($AC$2*6-1,$E142*2)))),NA())</f>
        <v>#N/A</v>
      </c>
      <c r="C142" t="e">
        <f ca="1">IF(E142&lt;=INDIRECT("ShipsInfo!E"&amp;$AC$2),INDIRECT(ADDRESS(58,4+INDIRECT("ShipsVE!"&amp;ADDRESS($AC$2*6-1,$E142*2)))),NA())</f>
        <v>#N/A</v>
      </c>
      <c r="E142">
        <f t="shared" si="17"/>
        <v>26</v>
      </c>
      <c r="F142">
        <v>77</v>
      </c>
    </row>
    <row r="143" spans="2:6">
      <c r="E143">
        <f t="shared" si="17"/>
        <v>26</v>
      </c>
      <c r="F143">
        <v>78</v>
      </c>
    </row>
    <row r="144" spans="2:6">
      <c r="B144" t="e">
        <f ca="1">IF(E144&lt;=INDIRECT("ShipsInfo!E"&amp;$AC$2),INDIRECT(ADDRESS(57,4+INDIRECT("ShipsVE!"&amp;ADDRESS($AC$2*6-1,$E144*2-1)))),NA())</f>
        <v>#N/A</v>
      </c>
      <c r="C144" t="e">
        <f ca="1">IF(E144&lt;=INDIRECT("ShipsInfo!E"&amp;$AC$2),INDIRECT(ADDRESS(58,4+INDIRECT("ShipsVE!"&amp;ADDRESS($AC$2*6-1,$E144*2-1)))),NA())</f>
        <v>#N/A</v>
      </c>
      <c r="E144">
        <f t="shared" si="17"/>
        <v>27</v>
      </c>
      <c r="F144">
        <v>79</v>
      </c>
    </row>
    <row r="145" spans="2:6">
      <c r="B145" t="e">
        <f ca="1">IF(E145&lt;=INDIRECT("ShipsInfo!E"&amp;$AC$2),INDIRECT(ADDRESS(57,4+INDIRECT("ShipsVE!"&amp;ADDRESS($AC$2*6-1,$E145*2)))),NA())</f>
        <v>#N/A</v>
      </c>
      <c r="C145" t="e">
        <f ca="1">IF(E145&lt;=INDIRECT("ShipsInfo!E"&amp;$AC$2),INDIRECT(ADDRESS(58,4+INDIRECT("ShipsVE!"&amp;ADDRESS($AC$2*6-1,$E145*2)))),NA())</f>
        <v>#N/A</v>
      </c>
      <c r="E145">
        <f t="shared" si="17"/>
        <v>27</v>
      </c>
      <c r="F145">
        <v>80</v>
      </c>
    </row>
    <row r="146" spans="2:6">
      <c r="E146">
        <f t="shared" si="17"/>
        <v>27</v>
      </c>
      <c r="F146">
        <v>81</v>
      </c>
    </row>
    <row r="147" spans="2:6">
      <c r="B147" t="e">
        <f ca="1">IF(E147&lt;=INDIRECT("ShipsInfo!E"&amp;$AC$2),INDIRECT(ADDRESS(57,4+INDIRECT("ShipsVE!"&amp;ADDRESS($AC$2*6-1,$E147*2-1)))),NA())</f>
        <v>#N/A</v>
      </c>
      <c r="C147" t="e">
        <f ca="1">IF(E147&lt;=INDIRECT("ShipsInfo!E"&amp;$AC$2),INDIRECT(ADDRESS(58,4+INDIRECT("ShipsVE!"&amp;ADDRESS($AC$2*6-1,$E147*2-1)))),NA())</f>
        <v>#N/A</v>
      </c>
      <c r="E147">
        <f t="shared" si="17"/>
        <v>28</v>
      </c>
      <c r="F147">
        <v>82</v>
      </c>
    </row>
    <row r="148" spans="2:6">
      <c r="B148" t="e">
        <f ca="1">IF(E148&lt;=INDIRECT("ShipsInfo!E"&amp;$AC$2),INDIRECT(ADDRESS(57,4+INDIRECT("ShipsVE!"&amp;ADDRESS($AC$2*6-1,$E148*2)))),NA())</f>
        <v>#N/A</v>
      </c>
      <c r="C148" t="e">
        <f ca="1">IF(E148&lt;=INDIRECT("ShipsInfo!E"&amp;$AC$2),INDIRECT(ADDRESS(58,4+INDIRECT("ShipsVE!"&amp;ADDRESS($AC$2*6-1,$E148*2)))),NA())</f>
        <v>#N/A</v>
      </c>
      <c r="E148">
        <f t="shared" si="17"/>
        <v>28</v>
      </c>
      <c r="F148">
        <v>83</v>
      </c>
    </row>
    <row r="149" spans="2:6">
      <c r="E149">
        <f t="shared" si="17"/>
        <v>28</v>
      </c>
      <c r="F149">
        <v>84</v>
      </c>
    </row>
    <row r="150" spans="2:6">
      <c r="B150" t="e">
        <f ca="1">IF(E150&lt;=INDIRECT("ShipsInfo!E"&amp;$AC$2),INDIRECT(ADDRESS(57,4+INDIRECT("ShipsVE!"&amp;ADDRESS($AC$2*6-1,$E150*2-1)))),NA())</f>
        <v>#N/A</v>
      </c>
      <c r="C150" t="e">
        <f ca="1">IF(E150&lt;=INDIRECT("ShipsInfo!E"&amp;$AC$2),INDIRECT(ADDRESS(58,4+INDIRECT("ShipsVE!"&amp;ADDRESS($AC$2*6-1,$E150*2-1)))),NA())</f>
        <v>#N/A</v>
      </c>
      <c r="E150">
        <f t="shared" si="17"/>
        <v>29</v>
      </c>
      <c r="F150">
        <v>85</v>
      </c>
    </row>
    <row r="151" spans="2:6">
      <c r="B151" t="e">
        <f ca="1">IF(E151&lt;=INDIRECT("ShipsInfo!E"&amp;$AC$2),INDIRECT(ADDRESS(57,4+INDIRECT("ShipsVE!"&amp;ADDRESS($AC$2*6-1,$E151*2)))),NA())</f>
        <v>#N/A</v>
      </c>
      <c r="C151" t="e">
        <f ca="1">IF(E151&lt;=INDIRECT("ShipsInfo!E"&amp;$AC$2),INDIRECT(ADDRESS(58,4+INDIRECT("ShipsVE!"&amp;ADDRESS($AC$2*6-1,$E151*2)))),NA())</f>
        <v>#N/A</v>
      </c>
      <c r="E151">
        <f t="shared" si="17"/>
        <v>29</v>
      </c>
      <c r="F151">
        <v>86</v>
      </c>
    </row>
    <row r="152" spans="2:6">
      <c r="E152">
        <f t="shared" si="17"/>
        <v>29</v>
      </c>
      <c r="F152">
        <v>87</v>
      </c>
    </row>
    <row r="153" spans="2:6">
      <c r="B153" t="e">
        <f ca="1">IF(E153&lt;=INDIRECT("ShipsInfo!E"&amp;$AC$2),INDIRECT(ADDRESS(57,4+INDIRECT("ShipsVE!"&amp;ADDRESS($AC$2*6-1,$E153*2-1)))),NA())</f>
        <v>#N/A</v>
      </c>
      <c r="C153" t="e">
        <f ca="1">IF(E153&lt;=INDIRECT("ShipsInfo!E"&amp;$AC$2),INDIRECT(ADDRESS(58,4+INDIRECT("ShipsVE!"&amp;ADDRESS($AC$2*6-1,$E153*2-1)))),NA())</f>
        <v>#N/A</v>
      </c>
      <c r="E153">
        <f t="shared" si="17"/>
        <v>30</v>
      </c>
      <c r="F153">
        <v>88</v>
      </c>
    </row>
    <row r="154" spans="2:6">
      <c r="B154" t="e">
        <f ca="1">IF(E154&lt;=INDIRECT("ShipsInfo!E"&amp;$AC$2),INDIRECT(ADDRESS(57,4+INDIRECT("ShipsVE!"&amp;ADDRESS($AC$2*6-1,$E154*2)))),NA())</f>
        <v>#N/A</v>
      </c>
      <c r="C154" t="e">
        <f ca="1">IF(E154&lt;=INDIRECT("ShipsInfo!E"&amp;$AC$2),INDIRECT(ADDRESS(58,4+INDIRECT("ShipsVE!"&amp;ADDRESS($AC$2*6-1,$E154*2)))),NA())</f>
        <v>#N/A</v>
      </c>
      <c r="E154">
        <f t="shared" si="17"/>
        <v>30</v>
      </c>
      <c r="F154">
        <v>89</v>
      </c>
    </row>
    <row r="155" spans="2:6">
      <c r="E155">
        <f t="shared" si="17"/>
        <v>30</v>
      </c>
      <c r="F155">
        <v>90</v>
      </c>
    </row>
    <row r="156" spans="2:6">
      <c r="B156" t="e">
        <f ca="1">IF(E156&lt;=INDIRECT("ShipsInfo!E"&amp;$AC$2),INDIRECT(ADDRESS(57,4+INDIRECT("ShipsVE!"&amp;ADDRESS($AC$2*6-1,$E156*2-1)))),NA())</f>
        <v>#N/A</v>
      </c>
      <c r="C156" t="e">
        <f ca="1">IF(E156&lt;=INDIRECT("ShipsInfo!E"&amp;$AC$2),INDIRECT(ADDRESS(58,4+INDIRECT("ShipsVE!"&amp;ADDRESS($AC$2*6-1,$E156*2-1)))),NA())</f>
        <v>#N/A</v>
      </c>
      <c r="E156">
        <f t="shared" si="17"/>
        <v>31</v>
      </c>
      <c r="F156">
        <v>91</v>
      </c>
    </row>
    <row r="157" spans="2:6">
      <c r="B157" t="e">
        <f ca="1">IF(E157&lt;=INDIRECT("ShipsInfo!E"&amp;$AC$2),INDIRECT(ADDRESS(57,4+INDIRECT("ShipsVE!"&amp;ADDRESS($AC$2*6-1,$E157*2)))),NA())</f>
        <v>#N/A</v>
      </c>
      <c r="C157" t="e">
        <f ca="1">IF(E157&lt;=INDIRECT("ShipsInfo!E"&amp;$AC$2),INDIRECT(ADDRESS(58,4+INDIRECT("ShipsVE!"&amp;ADDRESS($AC$2*6-1,$E157*2)))),NA())</f>
        <v>#N/A</v>
      </c>
      <c r="E157">
        <f t="shared" si="17"/>
        <v>31</v>
      </c>
      <c r="F157">
        <v>92</v>
      </c>
    </row>
    <row r="158" spans="2:6">
      <c r="E158">
        <f t="shared" si="17"/>
        <v>31</v>
      </c>
      <c r="F158">
        <v>93</v>
      </c>
    </row>
    <row r="159" spans="2:6">
      <c r="B159" t="e">
        <f ca="1">IF(E159&lt;=INDIRECT("ShipsInfo!E"&amp;$AC$2),INDIRECT(ADDRESS(57,4+INDIRECT("ShipsVE!"&amp;ADDRESS($AC$2*6-1,$E159*2-1)))),NA())</f>
        <v>#N/A</v>
      </c>
      <c r="C159" t="e">
        <f ca="1">IF(E159&lt;=INDIRECT("ShipsInfo!E"&amp;$AC$2),INDIRECT(ADDRESS(58,4+INDIRECT("ShipsVE!"&amp;ADDRESS($AC$2*6-1,$E159*2-1)))),NA())</f>
        <v>#N/A</v>
      </c>
      <c r="E159">
        <f t="shared" si="17"/>
        <v>32</v>
      </c>
      <c r="F159">
        <v>94</v>
      </c>
    </row>
    <row r="160" spans="2:6">
      <c r="B160" t="e">
        <f ca="1">IF(E160&lt;=INDIRECT("ShipsInfo!E"&amp;$AC$2),INDIRECT(ADDRESS(57,4+INDIRECT("ShipsVE!"&amp;ADDRESS($AC$2*6-1,$E160*2)))),NA())</f>
        <v>#N/A</v>
      </c>
      <c r="C160" t="e">
        <f ca="1">IF(E160&lt;=INDIRECT("ShipsInfo!E"&amp;$AC$2),INDIRECT(ADDRESS(58,4+INDIRECT("ShipsVE!"&amp;ADDRESS($AC$2*6-1,$E160*2)))),NA())</f>
        <v>#N/A</v>
      </c>
      <c r="E160">
        <f t="shared" si="17"/>
        <v>32</v>
      </c>
      <c r="F160">
        <v>95</v>
      </c>
    </row>
    <row r="161" spans="2:6">
      <c r="E161">
        <f t="shared" si="17"/>
        <v>32</v>
      </c>
      <c r="F161">
        <v>96</v>
      </c>
    </row>
    <row r="162" spans="2:6">
      <c r="B162" t="e">
        <f ca="1">IF(E162&lt;=INDIRECT("ShipsInfo!E"&amp;$AC$2),INDIRECT(ADDRESS(57,4+INDIRECT("ShipsVE!"&amp;ADDRESS($AC$2*6-1,$E162*2-1)))),NA())</f>
        <v>#N/A</v>
      </c>
      <c r="C162" t="e">
        <f ca="1">IF(E162&lt;=INDIRECT("ShipsInfo!E"&amp;$AC$2),INDIRECT(ADDRESS(58,4+INDIRECT("ShipsVE!"&amp;ADDRESS($AC$2*6-1,$E162*2-1)))),NA())</f>
        <v>#N/A</v>
      </c>
      <c r="E162">
        <f t="shared" si="17"/>
        <v>33</v>
      </c>
      <c r="F162">
        <v>97</v>
      </c>
    </row>
    <row r="163" spans="2:6">
      <c r="B163" t="e">
        <f ca="1">IF(E163&lt;=INDIRECT("ShipsInfo!E"&amp;$AC$2),INDIRECT(ADDRESS(57,4+INDIRECT("ShipsVE!"&amp;ADDRESS($AC$2*6-1,$E163*2)))),NA())</f>
        <v>#N/A</v>
      </c>
      <c r="C163" t="e">
        <f ca="1">IF(E163&lt;=INDIRECT("ShipsInfo!E"&amp;$AC$2),INDIRECT(ADDRESS(58,4+INDIRECT("ShipsVE!"&amp;ADDRESS($AC$2*6-1,$E163*2)))),NA())</f>
        <v>#N/A</v>
      </c>
      <c r="E163">
        <f t="shared" si="17"/>
        <v>33</v>
      </c>
      <c r="F163">
        <v>98</v>
      </c>
    </row>
    <row r="164" spans="2:6">
      <c r="E164">
        <f t="shared" si="17"/>
        <v>33</v>
      </c>
      <c r="F164">
        <v>99</v>
      </c>
    </row>
    <row r="165" spans="2:6">
      <c r="B165" t="e">
        <f ca="1">IF(E165&lt;=INDIRECT("ShipsInfo!E"&amp;$AC$2),INDIRECT(ADDRESS(57,4+INDIRECT("ShipsVE!"&amp;ADDRESS($AC$2*6-1,$E165*2-1)))),NA())</f>
        <v>#N/A</v>
      </c>
      <c r="C165" t="e">
        <f ca="1">IF(E165&lt;=INDIRECT("ShipsInfo!E"&amp;$AC$2),INDIRECT(ADDRESS(58,4+INDIRECT("ShipsVE!"&amp;ADDRESS($AC$2*6-1,$E165*2-1)))),NA())</f>
        <v>#N/A</v>
      </c>
      <c r="E165">
        <f t="shared" si="17"/>
        <v>34</v>
      </c>
      <c r="F165">
        <v>100</v>
      </c>
    </row>
    <row r="166" spans="2:6">
      <c r="B166" t="e">
        <f ca="1">IF(E166&lt;=INDIRECT("ShipsInfo!E"&amp;$AC$2),INDIRECT(ADDRESS(57,4+INDIRECT("ShipsVE!"&amp;ADDRESS($AC$2*6-1,$E166*2)))),NA())</f>
        <v>#N/A</v>
      </c>
      <c r="C166" t="e">
        <f ca="1">IF(E166&lt;=INDIRECT("ShipsInfo!E"&amp;$AC$2),INDIRECT(ADDRESS(58,4+INDIRECT("ShipsVE!"&amp;ADDRESS($AC$2*6-1,$E166*2)))),NA())</f>
        <v>#N/A</v>
      </c>
      <c r="E166">
        <f t="shared" si="17"/>
        <v>34</v>
      </c>
      <c r="F166">
        <v>101</v>
      </c>
    </row>
    <row r="167" spans="2:6">
      <c r="E167">
        <f t="shared" si="17"/>
        <v>34</v>
      </c>
      <c r="F167">
        <v>102</v>
      </c>
    </row>
    <row r="168" spans="2:6">
      <c r="B168" t="e">
        <f ca="1">IF(E168&lt;=INDIRECT("ShipsInfo!E"&amp;$AC$2),INDIRECT(ADDRESS(57,4+INDIRECT("ShipsVE!"&amp;ADDRESS($AC$2*6-1,$E168*2-1)))),NA())</f>
        <v>#N/A</v>
      </c>
      <c r="C168" t="e">
        <f ca="1">IF(E168&lt;=INDIRECT("ShipsInfo!E"&amp;$AC$2),INDIRECT(ADDRESS(58,4+INDIRECT("ShipsVE!"&amp;ADDRESS($AC$2*6-1,$E168*2-1)))),NA())</f>
        <v>#N/A</v>
      </c>
      <c r="E168">
        <f t="shared" si="17"/>
        <v>35</v>
      </c>
      <c r="F168">
        <v>103</v>
      </c>
    </row>
    <row r="169" spans="2:6">
      <c r="B169" t="e">
        <f ca="1">IF(E169&lt;=INDIRECT("ShipsInfo!E"&amp;$AC$2),INDIRECT(ADDRESS(57,4+INDIRECT("ShipsVE!"&amp;ADDRESS($AC$2*6-1,$E169*2)))),NA())</f>
        <v>#N/A</v>
      </c>
      <c r="C169" t="e">
        <f ca="1">IF(E169&lt;=INDIRECT("ShipsInfo!E"&amp;$AC$2),INDIRECT(ADDRESS(58,4+INDIRECT("ShipsVE!"&amp;ADDRESS($AC$2*6-1,$E169*2)))),NA())</f>
        <v>#N/A</v>
      </c>
      <c r="E169">
        <f t="shared" si="17"/>
        <v>35</v>
      </c>
      <c r="F169">
        <v>104</v>
      </c>
    </row>
    <row r="170" spans="2:6">
      <c r="E170">
        <f t="shared" si="17"/>
        <v>35</v>
      </c>
      <c r="F170">
        <v>105</v>
      </c>
    </row>
    <row r="171" spans="2:6">
      <c r="B171" t="e">
        <f ca="1">IF(E171&lt;=INDIRECT("ShipsInfo!E"&amp;$AC$2),INDIRECT(ADDRESS(57,4+INDIRECT("ShipsVE!"&amp;ADDRESS($AC$2*6-1,$E171*2-1)))),NA())</f>
        <v>#N/A</v>
      </c>
      <c r="C171" t="e">
        <f ca="1">IF(E171&lt;=INDIRECT("ShipsInfo!E"&amp;$AC$2),INDIRECT(ADDRESS(58,4+INDIRECT("ShipsVE!"&amp;ADDRESS($AC$2*6-1,$E171*2-1)))),NA())</f>
        <v>#N/A</v>
      </c>
      <c r="E171">
        <f t="shared" si="17"/>
        <v>36</v>
      </c>
      <c r="F171">
        <v>106</v>
      </c>
    </row>
    <row r="172" spans="2:6">
      <c r="B172" t="e">
        <f ca="1">IF(E172&lt;=INDIRECT("ShipsInfo!E"&amp;$AC$2),INDIRECT(ADDRESS(57,4+INDIRECT("ShipsVE!"&amp;ADDRESS($AC$2*6-1,$E172*2)))),NA())</f>
        <v>#N/A</v>
      </c>
      <c r="C172" t="e">
        <f ca="1">IF(E172&lt;=INDIRECT("ShipsInfo!E"&amp;$AC$2),INDIRECT(ADDRESS(58,4+INDIRECT("ShipsVE!"&amp;ADDRESS($AC$2*6-1,$E172*2)))),NA())</f>
        <v>#N/A</v>
      </c>
      <c r="E172">
        <f t="shared" si="17"/>
        <v>36</v>
      </c>
      <c r="F172">
        <v>107</v>
      </c>
    </row>
    <row r="173" spans="2:6">
      <c r="E173">
        <f t="shared" si="17"/>
        <v>36</v>
      </c>
      <c r="F173">
        <v>108</v>
      </c>
    </row>
    <row r="174" spans="2:6">
      <c r="B174" t="e">
        <f ca="1">IF(E174&lt;=INDIRECT("ShipsInfo!E"&amp;$AC$2),INDIRECT(ADDRESS(57,4+INDIRECT("ShipsVE!"&amp;ADDRESS($AC$2*6-1,$E174*2-1)))),NA())</f>
        <v>#N/A</v>
      </c>
      <c r="C174" t="e">
        <f ca="1">IF(E174&lt;=INDIRECT("ShipsInfo!E"&amp;$AC$2),INDIRECT(ADDRESS(58,4+INDIRECT("ShipsVE!"&amp;ADDRESS($AC$2*6-1,$E174*2-1)))),NA())</f>
        <v>#N/A</v>
      </c>
      <c r="E174">
        <f t="shared" si="17"/>
        <v>37</v>
      </c>
      <c r="F174">
        <v>109</v>
      </c>
    </row>
    <row r="175" spans="2:6">
      <c r="B175" t="e">
        <f ca="1">IF(E175&lt;=INDIRECT("ShipsInfo!E"&amp;$AC$2),INDIRECT(ADDRESS(57,4+INDIRECT("ShipsVE!"&amp;ADDRESS($AC$2*6-1,$E175*2)))),NA())</f>
        <v>#N/A</v>
      </c>
      <c r="C175" t="e">
        <f ca="1">IF(E175&lt;=INDIRECT("ShipsInfo!E"&amp;$AC$2),INDIRECT(ADDRESS(58,4+INDIRECT("ShipsVE!"&amp;ADDRESS($AC$2*6-1,$E175*2)))),NA())</f>
        <v>#N/A</v>
      </c>
      <c r="E175">
        <f t="shared" si="17"/>
        <v>37</v>
      </c>
      <c r="F175">
        <v>110</v>
      </c>
    </row>
    <row r="176" spans="2:6">
      <c r="E176">
        <f t="shared" si="17"/>
        <v>37</v>
      </c>
      <c r="F176">
        <v>111</v>
      </c>
    </row>
  </sheetData>
  <mergeCells count="2">
    <mergeCell ref="B52:C52"/>
    <mergeCell ref="Z1:AA1"/>
  </mergeCells>
  <pageMargins left="0.75" right="0.75" top="1" bottom="1" header="0.5" footer="0.5"/>
  <pageSetup paperSize="9" scale="38" orientation="portrait" horizontalDpi="4294967292" verticalDpi="4294967292"/>
  <colBreaks count="1" manualBreakCount="1">
    <brk id="35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">
                <anchor moveWithCells="1" sizeWithCells="1">
                  <from>
                    <xdr:col>23</xdr:col>
                    <xdr:colOff>0</xdr:colOff>
                    <xdr:row>2</xdr:row>
                    <xdr:rowOff>25400</xdr:rowOff>
                  </from>
                  <to>
                    <xdr:col>24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own">
                <anchor moveWithCells="1" sizeWithCells="1">
                  <from>
                    <xdr:col>23</xdr:col>
                    <xdr:colOff>0</xdr:colOff>
                    <xdr:row>4</xdr:row>
                    <xdr:rowOff>38100</xdr:rowOff>
                  </from>
                  <to>
                    <xdr:col>24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Left">
                <anchor moveWithCells="1" sizeWithCells="1">
                  <from>
                    <xdr:col>22</xdr:col>
                    <xdr:colOff>0</xdr:colOff>
                    <xdr:row>3</xdr:row>
                    <xdr:rowOff>25400</xdr:rowOff>
                  </from>
                  <to>
                    <xdr:col>22</xdr:col>
                    <xdr:colOff>406400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_xludf.Right">
                <anchor moveWithCells="1" sizeWithCells="1">
                  <from>
                    <xdr:col>24</xdr:col>
                    <xdr:colOff>12700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Back">
                <anchor moveWithCells="1" sizeWithCells="1">
                  <from>
                    <xdr:col>22</xdr:col>
                    <xdr:colOff>25400</xdr:colOff>
                    <xdr:row>6</xdr:row>
                    <xdr:rowOff>12700</xdr:rowOff>
                  </from>
                  <to>
                    <xdr:col>22</xdr:col>
                    <xdr:colOff>406400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ront">
                <anchor moveWithCells="1" sizeWithCells="1">
                  <from>
                    <xdr:col>24</xdr:col>
                    <xdr:colOff>12700</xdr:colOff>
                    <xdr:row>6</xdr:row>
                    <xdr:rowOff>38100</xdr:rowOff>
                  </from>
                  <to>
                    <xdr:col>24</xdr:col>
                    <xdr:colOff>419100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itchUp">
                <anchor moveWithCells="1" sizeWithCells="1">
                  <from>
                    <xdr:col>22</xdr:col>
                    <xdr:colOff>12700</xdr:colOff>
                    <xdr:row>9</xdr:row>
                    <xdr:rowOff>12700</xdr:rowOff>
                  </from>
                  <to>
                    <xdr:col>22</xdr:col>
                    <xdr:colOff>406400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PitchDown">
                <anchor moveWithCells="1" sizeWithCells="1">
                  <from>
                    <xdr:col>22</xdr:col>
                    <xdr:colOff>12700</xdr:colOff>
                    <xdr:row>11</xdr:row>
                    <xdr:rowOff>25400</xdr:rowOff>
                  </from>
                  <to>
                    <xdr:col>22</xdr:col>
                    <xdr:colOff>406400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YawLeft">
                <anchor moveWithCells="1" sizeWithCells="1">
                  <from>
                    <xdr:col>23</xdr:col>
                    <xdr:colOff>25400</xdr:colOff>
                    <xdr:row>9</xdr:row>
                    <xdr:rowOff>38100</xdr:rowOff>
                  </from>
                  <to>
                    <xdr:col>23</xdr:col>
                    <xdr:colOff>393700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YawRight">
                <anchor moveWithCells="1" sizeWithCells="1">
                  <from>
                    <xdr:col>24</xdr:col>
                    <xdr:colOff>12700</xdr:colOff>
                    <xdr:row>9</xdr:row>
                    <xdr:rowOff>38100</xdr:rowOff>
                  </from>
                  <to>
                    <xdr:col>24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RollLeft">
                <anchor moveWithCells="1" sizeWithCells="1">
                  <from>
                    <xdr:col>22</xdr:col>
                    <xdr:colOff>419100</xdr:colOff>
                    <xdr:row>11</xdr:row>
                    <xdr:rowOff>25400</xdr:rowOff>
                  </from>
                  <to>
                    <xdr:col>23</xdr:col>
                    <xdr:colOff>419100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[0]!RollRight">
                <anchor moveWithCells="1" sizeWithCells="1">
                  <from>
                    <xdr:col>24</xdr:col>
                    <xdr:colOff>12700</xdr:colOff>
                    <xdr:row>11</xdr:row>
                    <xdr:rowOff>0</xdr:rowOff>
                  </from>
                  <to>
                    <xdr:col>24</xdr:col>
                    <xdr:colOff>381000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[0]!FovIn">
                <anchor moveWithCells="1" sizeWithCells="1">
                  <from>
                    <xdr:col>22</xdr:col>
                    <xdr:colOff>12700</xdr:colOff>
                    <xdr:row>13</xdr:row>
                    <xdr:rowOff>63500</xdr:rowOff>
                  </from>
                  <to>
                    <xdr:col>23</xdr:col>
                    <xdr:colOff>254000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[0]!FovOut">
                <anchor moveWithCells="1" sizeWithCells="1">
                  <from>
                    <xdr:col>23</xdr:col>
                    <xdr:colOff>292100</xdr:colOff>
                    <xdr:row>13</xdr:row>
                    <xdr:rowOff>38100</xdr:rowOff>
                  </from>
                  <to>
                    <xdr:col>24</xdr:col>
                    <xdr:colOff>393700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[0]!Reset">
                <anchor moveWithCells="1" sizeWithCells="1">
                  <from>
                    <xdr:col>22</xdr:col>
                    <xdr:colOff>0</xdr:colOff>
                    <xdr:row>15</xdr:row>
                    <xdr:rowOff>12700</xdr:rowOff>
                  </from>
                  <to>
                    <xdr:col>24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[0]!UpO">
                <anchor moveWithCells="1" sizeWithCells="1">
                  <from>
                    <xdr:col>27</xdr:col>
                    <xdr:colOff>0</xdr:colOff>
                    <xdr:row>2</xdr:row>
                    <xdr:rowOff>25400</xdr:rowOff>
                  </from>
                  <to>
                    <xdr:col>28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[0]!DownO">
                <anchor moveWithCells="1" sizeWithCells="1">
                  <from>
                    <xdr:col>27</xdr:col>
                    <xdr:colOff>0</xdr:colOff>
                    <xdr:row>4</xdr:row>
                    <xdr:rowOff>38100</xdr:rowOff>
                  </from>
                  <to>
                    <xdr:col>28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[0]!LeftO">
                <anchor moveWithCells="1" sizeWithCells="1">
                  <from>
                    <xdr:col>26</xdr:col>
                    <xdr:colOff>0</xdr:colOff>
                    <xdr:row>3</xdr:row>
                    <xdr:rowOff>25400</xdr:rowOff>
                  </from>
                  <to>
                    <xdr:col>26</xdr:col>
                    <xdr:colOff>406400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[0]!RightO">
                <anchor moveWithCells="1" sizeWithCells="1">
                  <from>
                    <xdr:col>28</xdr:col>
                    <xdr:colOff>12700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[0]!BackO">
                <anchor moveWithCells="1" sizeWithCells="1">
                  <from>
                    <xdr:col>26</xdr:col>
                    <xdr:colOff>25400</xdr:colOff>
                    <xdr:row>6</xdr:row>
                    <xdr:rowOff>12700</xdr:rowOff>
                  </from>
                  <to>
                    <xdr:col>26</xdr:col>
                    <xdr:colOff>406400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[0]!FrontO">
                <anchor moveWithCells="1" sizeWithCells="1">
                  <from>
                    <xdr:col>28</xdr:col>
                    <xdr:colOff>12700</xdr:colOff>
                    <xdr:row>6</xdr:row>
                    <xdr:rowOff>38100</xdr:rowOff>
                  </from>
                  <to>
                    <xdr:col>28</xdr:col>
                    <xdr:colOff>419100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[0]!PitchUpO">
                <anchor moveWithCells="1" sizeWithCells="1">
                  <from>
                    <xdr:col>26</xdr:col>
                    <xdr:colOff>12700</xdr:colOff>
                    <xdr:row>9</xdr:row>
                    <xdr:rowOff>12700</xdr:rowOff>
                  </from>
                  <to>
                    <xdr:col>26</xdr:col>
                    <xdr:colOff>406400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[0]!PitchDownO">
                <anchor moveWithCells="1" sizeWithCells="1">
                  <from>
                    <xdr:col>26</xdr:col>
                    <xdr:colOff>12700</xdr:colOff>
                    <xdr:row>11</xdr:row>
                    <xdr:rowOff>25400</xdr:rowOff>
                  </from>
                  <to>
                    <xdr:col>26</xdr:col>
                    <xdr:colOff>406400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[0]!YawLeftO">
                <anchor moveWithCells="1" sizeWithCells="1">
                  <from>
                    <xdr:col>27</xdr:col>
                    <xdr:colOff>25400</xdr:colOff>
                    <xdr:row>9</xdr:row>
                    <xdr:rowOff>38100</xdr:rowOff>
                  </from>
                  <to>
                    <xdr:col>27</xdr:col>
                    <xdr:colOff>393700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Fill="0" autoPict="0" macro="[0]!YawRightO">
                <anchor moveWithCells="1" sizeWithCells="1">
                  <from>
                    <xdr:col>28</xdr:col>
                    <xdr:colOff>12700</xdr:colOff>
                    <xdr:row>9</xdr:row>
                    <xdr:rowOff>38100</xdr:rowOff>
                  </from>
                  <to>
                    <xdr:col>28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Fill="0" autoPict="0" macro="[0]!RollLeftO">
                <anchor moveWithCells="1" sizeWithCells="1">
                  <from>
                    <xdr:col>26</xdr:col>
                    <xdr:colOff>419100</xdr:colOff>
                    <xdr:row>11</xdr:row>
                    <xdr:rowOff>25400</xdr:rowOff>
                  </from>
                  <to>
                    <xdr:col>27</xdr:col>
                    <xdr:colOff>419100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Button 27">
              <controlPr defaultSize="0" print="0" autoFill="0" autoPict="0" macro="[0]!RollRightO">
                <anchor moveWithCells="1" sizeWithCells="1">
                  <from>
                    <xdr:col>28</xdr:col>
                    <xdr:colOff>12700</xdr:colOff>
                    <xdr:row>11</xdr:row>
                    <xdr:rowOff>0</xdr:rowOff>
                  </from>
                  <to>
                    <xdr:col>28</xdr:col>
                    <xdr:colOff>381000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Button 28">
              <controlPr defaultSize="0" print="0" autoFill="0" autoPict="0" macro="[0]!SCxUp">
                <anchor moveWithCells="1" sizeWithCells="1">
                  <from>
                    <xdr:col>26</xdr:col>
                    <xdr:colOff>0</xdr:colOff>
                    <xdr:row>13</xdr:row>
                    <xdr:rowOff>25400</xdr:rowOff>
                  </from>
                  <to>
                    <xdr:col>26</xdr:col>
                    <xdr:colOff>393700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Button 29">
              <controlPr defaultSize="0" print="0" autoFill="0" autoPict="0" macro="[0]!ScyUp">
                <anchor moveWithCells="1" sizeWithCells="1">
                  <from>
                    <xdr:col>27</xdr:col>
                    <xdr:colOff>12700</xdr:colOff>
                    <xdr:row>13</xdr:row>
                    <xdr:rowOff>12700</xdr:rowOff>
                  </from>
                  <to>
                    <xdr:col>28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Button 30">
              <controlPr defaultSize="0" print="0" autoFill="0" autoPict="0" macro="[0]!SCzUp">
                <anchor moveWithCells="1" sizeWithCells="1">
                  <from>
                    <xdr:col>28</xdr:col>
                    <xdr:colOff>25400</xdr:colOff>
                    <xdr:row>13</xdr:row>
                    <xdr:rowOff>12700</xdr:rowOff>
                  </from>
                  <to>
                    <xdr:col>28</xdr:col>
                    <xdr:colOff>406400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Button 31">
              <controlPr defaultSize="0" print="0" autoFill="0" autoPict="0" macro="[0]!SCxDown">
                <anchor moveWithCells="1" sizeWithCells="1">
                  <from>
                    <xdr:col>26</xdr:col>
                    <xdr:colOff>0</xdr:colOff>
                    <xdr:row>15</xdr:row>
                    <xdr:rowOff>25400</xdr:rowOff>
                  </from>
                  <to>
                    <xdr:col>26</xdr:col>
                    <xdr:colOff>393700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Button 32">
              <controlPr defaultSize="0" print="0" autoFill="0" autoPict="0" macro="[0]!ScyDown">
                <anchor moveWithCells="1" sizeWithCells="1">
                  <from>
                    <xdr:col>27</xdr:col>
                    <xdr:colOff>0</xdr:colOff>
                    <xdr:row>15</xdr:row>
                    <xdr:rowOff>12700</xdr:rowOff>
                  </from>
                  <to>
                    <xdr:col>27</xdr:col>
                    <xdr:colOff>419100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Button 33">
              <controlPr defaultSize="0" print="0" autoFill="0" autoPict="0" macro="[0]!SCzDown">
                <anchor moveWithCells="1" sizeWithCells="1">
                  <from>
                    <xdr:col>28</xdr:col>
                    <xdr:colOff>25400</xdr:colOff>
                    <xdr:row>15</xdr:row>
                    <xdr:rowOff>12700</xdr:rowOff>
                  </from>
                  <to>
                    <xdr:col>28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Button 34">
              <controlPr defaultSize="0" print="0" autoFill="0" autoPict="0" macro="[0]!PrevShip">
                <anchor moveWithCells="1" sizeWithCells="1">
                  <from>
                    <xdr:col>25</xdr:col>
                    <xdr:colOff>0</xdr:colOff>
                    <xdr:row>1</xdr:row>
                    <xdr:rowOff>25400</xdr:rowOff>
                  </from>
                  <to>
                    <xdr:col>25</xdr:col>
                    <xdr:colOff>406400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Button 35">
              <controlPr defaultSize="0" print="0" autoFill="0" autoPict="0" macro="[0]!NextShip">
                <anchor moveWithCells="1" sizeWithCells="1">
                  <from>
                    <xdr:col>29</xdr:col>
                    <xdr:colOff>0</xdr:colOff>
                    <xdr:row>1</xdr:row>
                    <xdr:rowOff>25400</xdr:rowOff>
                  </from>
                  <to>
                    <xdr:col>29</xdr:col>
                    <xdr:colOff>406400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8" name="Button 37">
              <controlPr defaultSize="0" autoFill="0" autoPict="0" macro="[0]!Anim_Open">
                <anchor moveWithCells="1" sizeWithCells="1">
                  <from>
                    <xdr:col>24</xdr:col>
                    <xdr:colOff>0</xdr:colOff>
                    <xdr:row>0</xdr:row>
                    <xdr:rowOff>12700</xdr:rowOff>
                  </from>
                  <to>
                    <xdr:col>24</xdr:col>
                    <xdr:colOff>419100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9" name="Button 38">
              <controlPr defaultSize="0" autoFill="0" autoPict="0" macro="[0]!Anim_Stop">
                <anchor moveWithCells="1" sizeWithCells="1">
                  <from>
                    <xdr:col>27</xdr:col>
                    <xdr:colOff>0</xdr:colOff>
                    <xdr:row>0</xdr:row>
                    <xdr:rowOff>12700</xdr:rowOff>
                  </from>
                  <to>
                    <xdr:col>27</xdr:col>
                    <xdr:colOff>419100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G198"/>
  <sheetViews>
    <sheetView topLeftCell="B1" workbookViewId="0">
      <selection activeCell="P14" sqref="P14"/>
    </sheetView>
  </sheetViews>
  <sheetFormatPr baseColWidth="10" defaultRowHeight="16"/>
  <sheetData>
    <row r="1" spans="1:24">
      <c r="A1" t="s">
        <v>55</v>
      </c>
      <c r="B1" t="s">
        <v>56</v>
      </c>
      <c r="C1" t="s">
        <v>57</v>
      </c>
      <c r="D1" t="s">
        <v>208</v>
      </c>
      <c r="E1" t="s">
        <v>59</v>
      </c>
      <c r="F1" t="s">
        <v>60</v>
      </c>
    </row>
    <row r="2" spans="1:24">
      <c r="A2">
        <v>-28</v>
      </c>
      <c r="B2">
        <v>-28</v>
      </c>
      <c r="C2">
        <v>-28</v>
      </c>
      <c r="D2">
        <v>28</v>
      </c>
      <c r="E2">
        <v>-28</v>
      </c>
      <c r="F2">
        <v>-28</v>
      </c>
      <c r="G2">
        <v>28</v>
      </c>
      <c r="H2">
        <v>28</v>
      </c>
      <c r="I2">
        <v>-28</v>
      </c>
      <c r="J2">
        <v>-28</v>
      </c>
      <c r="K2">
        <v>28</v>
      </c>
      <c r="L2">
        <v>-28</v>
      </c>
      <c r="M2">
        <v>-28</v>
      </c>
      <c r="N2">
        <v>-28</v>
      </c>
      <c r="O2">
        <v>28</v>
      </c>
      <c r="P2">
        <v>28</v>
      </c>
      <c r="Q2">
        <v>-28</v>
      </c>
      <c r="R2">
        <v>28</v>
      </c>
      <c r="S2">
        <v>28</v>
      </c>
      <c r="T2">
        <v>28</v>
      </c>
      <c r="U2">
        <v>28</v>
      </c>
      <c r="V2">
        <v>-28</v>
      </c>
      <c r="W2">
        <v>28</v>
      </c>
      <c r="X2">
        <v>28</v>
      </c>
    </row>
    <row r="3" spans="1:24">
      <c r="A3" t="s">
        <v>54</v>
      </c>
    </row>
    <row r="4" spans="1:24">
      <c r="A4" t="s">
        <v>55</v>
      </c>
      <c r="B4" t="s">
        <v>56</v>
      </c>
      <c r="C4" t="s">
        <v>61</v>
      </c>
      <c r="D4" t="s">
        <v>209</v>
      </c>
      <c r="E4" t="s">
        <v>59</v>
      </c>
      <c r="F4" t="s">
        <v>60</v>
      </c>
    </row>
    <row r="5" spans="1:24">
      <c r="A5">
        <v>0</v>
      </c>
      <c r="B5">
        <v>1</v>
      </c>
      <c r="C5">
        <v>1</v>
      </c>
      <c r="D5">
        <v>2</v>
      </c>
      <c r="E5">
        <v>2</v>
      </c>
      <c r="F5">
        <v>3</v>
      </c>
      <c r="G5">
        <v>3</v>
      </c>
      <c r="H5">
        <v>0</v>
      </c>
      <c r="I5">
        <v>4</v>
      </c>
      <c r="J5">
        <v>5</v>
      </c>
      <c r="K5">
        <v>5</v>
      </c>
      <c r="L5">
        <v>6</v>
      </c>
      <c r="M5">
        <v>6</v>
      </c>
      <c r="N5">
        <v>7</v>
      </c>
      <c r="O5">
        <v>7</v>
      </c>
      <c r="P5">
        <v>4</v>
      </c>
      <c r="Q5">
        <v>0</v>
      </c>
      <c r="R5">
        <v>4</v>
      </c>
      <c r="S5">
        <v>1</v>
      </c>
      <c r="T5">
        <v>5</v>
      </c>
      <c r="U5">
        <v>2</v>
      </c>
      <c r="V5">
        <v>6</v>
      </c>
      <c r="W5">
        <v>3</v>
      </c>
      <c r="X5">
        <v>7</v>
      </c>
    </row>
    <row r="6" spans="1:24">
      <c r="A6" t="s">
        <v>54</v>
      </c>
    </row>
    <row r="7" spans="1:24">
      <c r="A7" t="s">
        <v>55</v>
      </c>
      <c r="B7" t="s">
        <v>56</v>
      </c>
      <c r="C7" t="s">
        <v>57</v>
      </c>
      <c r="D7" t="s">
        <v>210</v>
      </c>
      <c r="E7" t="s">
        <v>59</v>
      </c>
      <c r="F7" t="s">
        <v>60</v>
      </c>
    </row>
    <row r="8" spans="1:24">
      <c r="A8">
        <v>25</v>
      </c>
      <c r="B8">
        <v>0</v>
      </c>
      <c r="C8">
        <v>-9</v>
      </c>
      <c r="D8">
        <v>-25</v>
      </c>
      <c r="E8">
        <v>22</v>
      </c>
      <c r="F8">
        <v>-9</v>
      </c>
      <c r="G8">
        <v>-25</v>
      </c>
      <c r="H8">
        <v>-22</v>
      </c>
      <c r="I8">
        <v>-9</v>
      </c>
      <c r="J8">
        <v>0</v>
      </c>
      <c r="K8">
        <v>0</v>
      </c>
      <c r="L8">
        <v>27</v>
      </c>
    </row>
    <row r="9" spans="1:24">
      <c r="A9" t="s">
        <v>54</v>
      </c>
    </row>
    <row r="10" spans="1:24">
      <c r="A10" t="s">
        <v>55</v>
      </c>
      <c r="B10" t="s">
        <v>56</v>
      </c>
      <c r="C10" t="s">
        <v>61</v>
      </c>
      <c r="D10" t="s">
        <v>211</v>
      </c>
      <c r="E10" t="s">
        <v>59</v>
      </c>
      <c r="F10" t="s">
        <v>60</v>
      </c>
    </row>
    <row r="11" spans="1:24">
      <c r="A11">
        <v>0</v>
      </c>
      <c r="B11">
        <v>1</v>
      </c>
      <c r="C11">
        <v>1</v>
      </c>
      <c r="D11">
        <v>2</v>
      </c>
      <c r="E11">
        <v>2</v>
      </c>
      <c r="F11">
        <v>0</v>
      </c>
      <c r="G11">
        <v>0</v>
      </c>
      <c r="H11">
        <v>3</v>
      </c>
      <c r="I11">
        <v>1</v>
      </c>
      <c r="J11">
        <v>3</v>
      </c>
      <c r="K11">
        <v>2</v>
      </c>
      <c r="L11">
        <v>3</v>
      </c>
    </row>
    <row r="12" spans="1:24">
      <c r="A12" t="s">
        <v>54</v>
      </c>
    </row>
    <row r="13" spans="1:24">
      <c r="A13" t="s">
        <v>55</v>
      </c>
      <c r="B13" t="s">
        <v>56</v>
      </c>
      <c r="C13" t="s">
        <v>57</v>
      </c>
      <c r="D13" t="s">
        <v>212</v>
      </c>
      <c r="E13" t="s">
        <v>59</v>
      </c>
      <c r="F13" t="s">
        <v>60</v>
      </c>
    </row>
    <row r="14" spans="1:24">
      <c r="A14">
        <v>-28</v>
      </c>
      <c r="B14">
        <v>-28</v>
      </c>
      <c r="C14">
        <v>-28</v>
      </c>
      <c r="D14">
        <v>28</v>
      </c>
      <c r="E14">
        <v>-28</v>
      </c>
      <c r="F14">
        <v>-28</v>
      </c>
      <c r="G14">
        <v>28</v>
      </c>
      <c r="H14">
        <v>28</v>
      </c>
      <c r="I14">
        <v>-28</v>
      </c>
      <c r="J14">
        <v>-28</v>
      </c>
      <c r="K14">
        <v>28</v>
      </c>
      <c r="L14">
        <v>-28</v>
      </c>
      <c r="M14">
        <v>0</v>
      </c>
      <c r="N14">
        <v>0</v>
      </c>
      <c r="O14">
        <v>28</v>
      </c>
    </row>
    <row r="15" spans="1:24">
      <c r="A15" t="s">
        <v>54</v>
      </c>
    </row>
    <row r="16" spans="1:24">
      <c r="A16" t="s">
        <v>55</v>
      </c>
      <c r="B16" t="s">
        <v>56</v>
      </c>
      <c r="C16" t="s">
        <v>61</v>
      </c>
      <c r="D16" t="s">
        <v>213</v>
      </c>
      <c r="E16" t="s">
        <v>59</v>
      </c>
      <c r="F16" t="s">
        <v>60</v>
      </c>
    </row>
    <row r="17" spans="1:58">
      <c r="A17">
        <v>0</v>
      </c>
      <c r="B17">
        <v>1</v>
      </c>
      <c r="C17">
        <v>1</v>
      </c>
      <c r="D17">
        <v>2</v>
      </c>
      <c r="E17">
        <v>2</v>
      </c>
      <c r="F17">
        <v>3</v>
      </c>
      <c r="G17">
        <v>3</v>
      </c>
      <c r="H17">
        <v>0</v>
      </c>
      <c r="I17">
        <v>0</v>
      </c>
      <c r="J17">
        <v>4</v>
      </c>
      <c r="K17">
        <v>1</v>
      </c>
      <c r="L17">
        <v>4</v>
      </c>
      <c r="M17">
        <v>2</v>
      </c>
      <c r="N17">
        <v>4</v>
      </c>
      <c r="O17">
        <v>3</v>
      </c>
      <c r="P17">
        <v>4</v>
      </c>
    </row>
    <row r="18" spans="1:58">
      <c r="A18" t="s">
        <v>54</v>
      </c>
    </row>
    <row r="19" spans="1:58">
      <c r="A19" t="s">
        <v>55</v>
      </c>
      <c r="B19" t="s">
        <v>56</v>
      </c>
      <c r="C19" t="s">
        <v>57</v>
      </c>
      <c r="D19" t="s">
        <v>214</v>
      </c>
      <c r="E19" t="s">
        <v>59</v>
      </c>
      <c r="F19" t="s">
        <v>60</v>
      </c>
    </row>
    <row r="20" spans="1:58">
      <c r="A20">
        <v>0</v>
      </c>
      <c r="B20">
        <v>-14</v>
      </c>
      <c r="C20">
        <v>-28</v>
      </c>
      <c r="D20">
        <v>-12</v>
      </c>
      <c r="E20">
        <v>7</v>
      </c>
      <c r="F20">
        <v>-28</v>
      </c>
      <c r="G20">
        <v>12</v>
      </c>
      <c r="H20">
        <v>7</v>
      </c>
      <c r="I20">
        <v>-28</v>
      </c>
      <c r="J20">
        <v>0</v>
      </c>
      <c r="K20">
        <v>-14</v>
      </c>
      <c r="L20">
        <v>28</v>
      </c>
      <c r="M20">
        <v>-12</v>
      </c>
      <c r="N20">
        <v>7</v>
      </c>
      <c r="O20">
        <v>28</v>
      </c>
      <c r="P20">
        <v>12</v>
      </c>
      <c r="Q20">
        <v>7</v>
      </c>
      <c r="R20">
        <v>28</v>
      </c>
    </row>
    <row r="21" spans="1:58">
      <c r="A21" t="s">
        <v>54</v>
      </c>
    </row>
    <row r="22" spans="1:58">
      <c r="A22" t="s">
        <v>55</v>
      </c>
      <c r="B22" t="s">
        <v>56</v>
      </c>
      <c r="C22" t="s">
        <v>61</v>
      </c>
      <c r="D22" t="s">
        <v>215</v>
      </c>
      <c r="E22" t="s">
        <v>59</v>
      </c>
      <c r="F22" t="s">
        <v>60</v>
      </c>
    </row>
    <row r="23" spans="1:58">
      <c r="A23">
        <v>0</v>
      </c>
      <c r="B23">
        <v>1</v>
      </c>
      <c r="C23">
        <v>1</v>
      </c>
      <c r="D23">
        <v>2</v>
      </c>
      <c r="E23">
        <v>2</v>
      </c>
      <c r="F23">
        <v>0</v>
      </c>
      <c r="G23">
        <v>3</v>
      </c>
      <c r="H23">
        <v>4</v>
      </c>
      <c r="I23">
        <v>4</v>
      </c>
      <c r="J23">
        <v>5</v>
      </c>
      <c r="K23">
        <v>5</v>
      </c>
      <c r="L23">
        <v>3</v>
      </c>
      <c r="M23">
        <v>0</v>
      </c>
      <c r="N23">
        <v>3</v>
      </c>
      <c r="O23">
        <v>1</v>
      </c>
      <c r="P23">
        <v>4</v>
      </c>
      <c r="Q23">
        <v>2</v>
      </c>
      <c r="R23">
        <v>5</v>
      </c>
    </row>
    <row r="24" spans="1:58">
      <c r="A24" t="s">
        <v>54</v>
      </c>
    </row>
    <row r="25" spans="1:58">
      <c r="A25" t="s">
        <v>55</v>
      </c>
      <c r="B25" t="s">
        <v>56</v>
      </c>
      <c r="C25" t="s">
        <v>57</v>
      </c>
      <c r="D25" t="s">
        <v>58</v>
      </c>
      <c r="E25" t="s">
        <v>59</v>
      </c>
      <c r="F25" t="s">
        <v>60</v>
      </c>
    </row>
    <row r="26" spans="1:58">
      <c r="A26">
        <v>-28</v>
      </c>
      <c r="B26">
        <v>0</v>
      </c>
      <c r="C26">
        <v>63</v>
      </c>
      <c r="D26">
        <v>28</v>
      </c>
      <c r="E26">
        <v>0</v>
      </c>
      <c r="F26">
        <v>63</v>
      </c>
      <c r="G26">
        <v>47</v>
      </c>
      <c r="H26">
        <v>0</v>
      </c>
      <c r="I26">
        <v>-37</v>
      </c>
      <c r="J26">
        <v>47</v>
      </c>
      <c r="K26">
        <v>0</v>
      </c>
      <c r="L26">
        <v>-63</v>
      </c>
      <c r="M26">
        <v>28</v>
      </c>
      <c r="N26">
        <v>-11</v>
      </c>
      <c r="O26">
        <v>-63</v>
      </c>
      <c r="P26">
        <v>-28</v>
      </c>
      <c r="Q26">
        <v>-11</v>
      </c>
      <c r="R26">
        <v>-63</v>
      </c>
      <c r="S26">
        <v>-47</v>
      </c>
      <c r="T26">
        <v>0</v>
      </c>
      <c r="U26">
        <v>-63</v>
      </c>
      <c r="V26">
        <v>-47</v>
      </c>
      <c r="W26">
        <v>0</v>
      </c>
      <c r="X26">
        <v>-37</v>
      </c>
      <c r="Y26">
        <v>-28</v>
      </c>
      <c r="Z26">
        <v>11</v>
      </c>
      <c r="AA26">
        <v>-63</v>
      </c>
      <c r="AB26">
        <v>28</v>
      </c>
      <c r="AC26">
        <v>11</v>
      </c>
      <c r="AD26">
        <v>-63</v>
      </c>
      <c r="AE26">
        <v>-28</v>
      </c>
      <c r="AF26">
        <v>11</v>
      </c>
      <c r="AG26">
        <v>20</v>
      </c>
      <c r="AH26">
        <v>28</v>
      </c>
      <c r="AI26">
        <v>11</v>
      </c>
      <c r="AJ26">
        <v>20</v>
      </c>
      <c r="AK26">
        <v>-28</v>
      </c>
      <c r="AL26">
        <v>-11</v>
      </c>
      <c r="AM26">
        <v>20</v>
      </c>
      <c r="AN26">
        <v>28</v>
      </c>
      <c r="AO26">
        <v>-11</v>
      </c>
      <c r="AP26">
        <v>20</v>
      </c>
      <c r="AQ26">
        <v>-17</v>
      </c>
      <c r="AR26">
        <v>4</v>
      </c>
      <c r="AS26">
        <v>45</v>
      </c>
      <c r="AT26">
        <v>17</v>
      </c>
      <c r="AU26">
        <v>4</v>
      </c>
      <c r="AV26">
        <v>45</v>
      </c>
      <c r="AW26">
        <v>17</v>
      </c>
      <c r="AX26">
        <v>6</v>
      </c>
      <c r="AY26">
        <v>37</v>
      </c>
      <c r="AZ26">
        <v>-17</v>
      </c>
      <c r="BA26">
        <v>6</v>
      </c>
      <c r="BB26">
        <v>37</v>
      </c>
    </row>
    <row r="27" spans="1:58">
      <c r="A27" t="s">
        <v>54</v>
      </c>
    </row>
    <row r="28" spans="1:58">
      <c r="A28" t="s">
        <v>55</v>
      </c>
      <c r="B28" t="s">
        <v>56</v>
      </c>
      <c r="C28" t="s">
        <v>61</v>
      </c>
      <c r="D28" t="s">
        <v>62</v>
      </c>
      <c r="E28" t="s">
        <v>59</v>
      </c>
      <c r="F28" t="s">
        <v>60</v>
      </c>
    </row>
    <row r="29" spans="1:58">
      <c r="A29">
        <v>14</v>
      </c>
      <c r="B29">
        <v>17</v>
      </c>
      <c r="C29">
        <v>10</v>
      </c>
      <c r="D29">
        <v>11</v>
      </c>
      <c r="E29">
        <v>5</v>
      </c>
      <c r="F29">
        <v>6</v>
      </c>
      <c r="G29">
        <v>0</v>
      </c>
      <c r="H29">
        <v>7</v>
      </c>
      <c r="I29">
        <v>8</v>
      </c>
      <c r="J29">
        <v>9</v>
      </c>
      <c r="K29">
        <v>0</v>
      </c>
      <c r="L29">
        <v>10</v>
      </c>
      <c r="M29">
        <v>1</v>
      </c>
      <c r="N29">
        <v>11</v>
      </c>
      <c r="O29">
        <v>1</v>
      </c>
      <c r="P29">
        <v>2</v>
      </c>
      <c r="Q29">
        <v>6</v>
      </c>
      <c r="R29">
        <v>7</v>
      </c>
      <c r="S29">
        <v>12</v>
      </c>
      <c r="T29">
        <v>13</v>
      </c>
      <c r="U29">
        <v>5</v>
      </c>
      <c r="V29">
        <v>12</v>
      </c>
      <c r="W29">
        <v>8</v>
      </c>
      <c r="X29">
        <v>10</v>
      </c>
      <c r="Y29">
        <v>4</v>
      </c>
      <c r="Z29">
        <v>13</v>
      </c>
      <c r="AA29">
        <v>7</v>
      </c>
      <c r="AB29">
        <v>12</v>
      </c>
      <c r="AC29">
        <v>2</v>
      </c>
      <c r="AD29">
        <v>13</v>
      </c>
      <c r="AE29">
        <v>9</v>
      </c>
      <c r="AF29">
        <v>11</v>
      </c>
      <c r="AG29">
        <v>7</v>
      </c>
      <c r="AH29">
        <v>10</v>
      </c>
      <c r="AI29">
        <v>16</v>
      </c>
      <c r="AJ29">
        <v>17</v>
      </c>
      <c r="AK29">
        <v>4</v>
      </c>
      <c r="AL29">
        <v>5</v>
      </c>
      <c r="AM29">
        <v>1</v>
      </c>
      <c r="AN29">
        <v>13</v>
      </c>
      <c r="AO29">
        <v>0</v>
      </c>
      <c r="AP29">
        <v>12</v>
      </c>
      <c r="AQ29">
        <v>3</v>
      </c>
      <c r="AR29">
        <v>9</v>
      </c>
      <c r="AS29">
        <v>2</v>
      </c>
      <c r="AT29">
        <v>3</v>
      </c>
      <c r="AU29">
        <v>0</v>
      </c>
      <c r="AV29">
        <v>1</v>
      </c>
      <c r="AW29">
        <v>6</v>
      </c>
      <c r="AX29">
        <v>8</v>
      </c>
      <c r="AY29">
        <v>15</v>
      </c>
      <c r="AZ29">
        <v>16</v>
      </c>
      <c r="BA29">
        <v>2</v>
      </c>
      <c r="BB29">
        <v>11</v>
      </c>
      <c r="BC29">
        <v>14</v>
      </c>
      <c r="BD29">
        <v>15</v>
      </c>
      <c r="BE29">
        <v>3</v>
      </c>
      <c r="BF29">
        <v>4</v>
      </c>
    </row>
    <row r="30" spans="1:58">
      <c r="A30" t="s">
        <v>54</v>
      </c>
    </row>
    <row r="31" spans="1:58">
      <c r="A31" t="s">
        <v>55</v>
      </c>
      <c r="B31" t="s">
        <v>56</v>
      </c>
      <c r="C31" t="s">
        <v>57</v>
      </c>
      <c r="D31" t="s">
        <v>63</v>
      </c>
      <c r="E31" t="s">
        <v>59</v>
      </c>
      <c r="F31" t="s">
        <v>60</v>
      </c>
    </row>
    <row r="32" spans="1:58">
      <c r="A32">
        <v>0</v>
      </c>
      <c r="B32">
        <v>1</v>
      </c>
      <c r="C32">
        <v>-14</v>
      </c>
      <c r="D32">
        <v>-10</v>
      </c>
      <c r="E32">
        <v>-3</v>
      </c>
      <c r="F32">
        <v>-9</v>
      </c>
      <c r="G32">
        <v>-6</v>
      </c>
      <c r="H32">
        <v>-11</v>
      </c>
      <c r="I32">
        <v>0</v>
      </c>
      <c r="J32">
        <v>6</v>
      </c>
      <c r="K32">
        <v>-11</v>
      </c>
      <c r="L32">
        <v>0</v>
      </c>
      <c r="M32">
        <v>10</v>
      </c>
      <c r="N32">
        <v>-3</v>
      </c>
      <c r="O32">
        <v>-9</v>
      </c>
      <c r="P32">
        <v>0</v>
      </c>
      <c r="Q32">
        <v>11</v>
      </c>
      <c r="R32">
        <v>-12</v>
      </c>
      <c r="S32">
        <v>-17</v>
      </c>
      <c r="T32">
        <v>3</v>
      </c>
      <c r="U32">
        <v>-3</v>
      </c>
      <c r="V32">
        <v>-10</v>
      </c>
      <c r="W32">
        <v>-9</v>
      </c>
      <c r="X32">
        <v>9</v>
      </c>
      <c r="Y32">
        <v>10</v>
      </c>
      <c r="Z32">
        <v>-9</v>
      </c>
      <c r="AA32">
        <v>9</v>
      </c>
      <c r="AB32">
        <v>17</v>
      </c>
      <c r="AC32">
        <v>3</v>
      </c>
      <c r="AD32">
        <v>-3</v>
      </c>
      <c r="AE32">
        <v>-10</v>
      </c>
      <c r="AF32">
        <v>13</v>
      </c>
      <c r="AG32">
        <v>-5</v>
      </c>
      <c r="AH32">
        <v>-17</v>
      </c>
      <c r="AI32">
        <v>0</v>
      </c>
      <c r="AJ32">
        <v>7</v>
      </c>
      <c r="AK32">
        <v>0</v>
      </c>
      <c r="AL32">
        <v>0</v>
      </c>
      <c r="AM32">
        <v>63</v>
      </c>
      <c r="AN32">
        <v>17</v>
      </c>
      <c r="AO32">
        <v>0</v>
      </c>
      <c r="AP32">
        <v>7</v>
      </c>
      <c r="AQ32">
        <v>10</v>
      </c>
      <c r="AR32">
        <v>13</v>
      </c>
      <c r="AS32">
        <v>-5</v>
      </c>
    </row>
    <row r="33" spans="1:54">
      <c r="A33" t="s">
        <v>54</v>
      </c>
    </row>
    <row r="34" spans="1:54">
      <c r="A34" t="s">
        <v>55</v>
      </c>
      <c r="B34" t="s">
        <v>56</v>
      </c>
      <c r="C34" t="s">
        <v>61</v>
      </c>
      <c r="D34" t="s">
        <v>64</v>
      </c>
      <c r="E34" t="s">
        <v>59</v>
      </c>
      <c r="F34" t="s">
        <v>60</v>
      </c>
    </row>
    <row r="35" spans="1:54">
      <c r="A35">
        <v>8</v>
      </c>
      <c r="B35">
        <v>13</v>
      </c>
      <c r="C35">
        <v>7</v>
      </c>
      <c r="D35">
        <v>12</v>
      </c>
      <c r="E35">
        <v>1</v>
      </c>
      <c r="F35">
        <v>6</v>
      </c>
      <c r="G35">
        <v>7</v>
      </c>
      <c r="H35">
        <v>11</v>
      </c>
      <c r="I35">
        <v>1</v>
      </c>
      <c r="J35">
        <v>2</v>
      </c>
      <c r="K35">
        <v>5</v>
      </c>
      <c r="L35">
        <v>14</v>
      </c>
      <c r="M35">
        <v>4</v>
      </c>
      <c r="N35">
        <v>9</v>
      </c>
      <c r="O35">
        <v>12</v>
      </c>
      <c r="P35">
        <v>13</v>
      </c>
      <c r="Q35">
        <v>6</v>
      </c>
      <c r="R35">
        <v>10</v>
      </c>
      <c r="S35">
        <v>10</v>
      </c>
      <c r="T35">
        <v>12</v>
      </c>
      <c r="U35">
        <v>0</v>
      </c>
      <c r="V35">
        <v>4</v>
      </c>
      <c r="W35">
        <v>2</v>
      </c>
      <c r="X35">
        <v>7</v>
      </c>
      <c r="Y35">
        <v>9</v>
      </c>
      <c r="Z35">
        <v>14</v>
      </c>
      <c r="AA35">
        <v>12</v>
      </c>
      <c r="AB35">
        <v>14</v>
      </c>
      <c r="AC35">
        <v>6</v>
      </c>
      <c r="AD35">
        <v>11</v>
      </c>
      <c r="AE35">
        <v>2</v>
      </c>
      <c r="AF35">
        <v>3</v>
      </c>
      <c r="AG35">
        <v>11</v>
      </c>
      <c r="AH35">
        <v>12</v>
      </c>
      <c r="AI35">
        <v>0</v>
      </c>
      <c r="AJ35">
        <v>1</v>
      </c>
      <c r="AK35">
        <v>9</v>
      </c>
      <c r="AL35">
        <v>13</v>
      </c>
      <c r="AM35">
        <v>5</v>
      </c>
      <c r="AN35">
        <v>10</v>
      </c>
      <c r="AO35">
        <v>8</v>
      </c>
      <c r="AP35">
        <v>12</v>
      </c>
      <c r="AQ35">
        <v>3</v>
      </c>
      <c r="AR35">
        <v>8</v>
      </c>
      <c r="AS35">
        <v>10</v>
      </c>
      <c r="AT35">
        <v>14</v>
      </c>
      <c r="AU35">
        <v>0</v>
      </c>
      <c r="AV35">
        <v>5</v>
      </c>
      <c r="AW35">
        <v>3</v>
      </c>
      <c r="AX35">
        <v>4</v>
      </c>
    </row>
    <row r="36" spans="1:54">
      <c r="A36" t="s">
        <v>54</v>
      </c>
    </row>
    <row r="37" spans="1:54">
      <c r="A37" t="s">
        <v>55</v>
      </c>
      <c r="B37" t="s">
        <v>56</v>
      </c>
      <c r="C37" t="s">
        <v>57</v>
      </c>
      <c r="D37" t="s">
        <v>65</v>
      </c>
      <c r="E37" t="s">
        <v>59</v>
      </c>
      <c r="F37" t="s">
        <v>60</v>
      </c>
    </row>
    <row r="38" spans="1:54">
      <c r="A38">
        <v>0</v>
      </c>
      <c r="B38">
        <v>-15</v>
      </c>
      <c r="C38">
        <v>0</v>
      </c>
      <c r="D38">
        <v>0</v>
      </c>
      <c r="E38">
        <v>-7</v>
      </c>
      <c r="F38">
        <v>-38</v>
      </c>
      <c r="G38">
        <v>37</v>
      </c>
      <c r="H38">
        <v>0</v>
      </c>
      <c r="I38">
        <v>-38</v>
      </c>
      <c r="J38">
        <v>59</v>
      </c>
      <c r="K38">
        <v>-2</v>
      </c>
      <c r="L38">
        <v>0</v>
      </c>
      <c r="M38">
        <v>37</v>
      </c>
      <c r="N38">
        <v>-12</v>
      </c>
      <c r="O38">
        <v>24</v>
      </c>
      <c r="P38">
        <v>-37</v>
      </c>
      <c r="Q38">
        <v>0</v>
      </c>
      <c r="R38">
        <v>-38</v>
      </c>
      <c r="S38">
        <v>-59</v>
      </c>
      <c r="T38">
        <v>-2</v>
      </c>
      <c r="U38">
        <v>0</v>
      </c>
      <c r="V38">
        <v>-37</v>
      </c>
      <c r="W38">
        <v>-12</v>
      </c>
      <c r="X38">
        <v>24</v>
      </c>
      <c r="Y38">
        <v>22</v>
      </c>
      <c r="Z38">
        <v>-6</v>
      </c>
      <c r="AA38">
        <v>63</v>
      </c>
      <c r="AB38">
        <v>-22</v>
      </c>
      <c r="AC38">
        <v>-6</v>
      </c>
      <c r="AD38">
        <v>63</v>
      </c>
      <c r="AE38">
        <v>37</v>
      </c>
      <c r="AF38">
        <v>12</v>
      </c>
      <c r="AG38">
        <v>24</v>
      </c>
      <c r="AH38">
        <v>-37</v>
      </c>
      <c r="AI38">
        <v>12</v>
      </c>
      <c r="AJ38">
        <v>24</v>
      </c>
      <c r="AK38">
        <v>0</v>
      </c>
      <c r="AL38">
        <v>7</v>
      </c>
      <c r="AM38">
        <v>-38</v>
      </c>
      <c r="AN38">
        <v>-14</v>
      </c>
      <c r="AO38">
        <v>0</v>
      </c>
      <c r="AP38">
        <v>-38</v>
      </c>
      <c r="AQ38">
        <v>14</v>
      </c>
      <c r="AR38">
        <v>0</v>
      </c>
      <c r="AS38">
        <v>-38</v>
      </c>
      <c r="AT38">
        <v>0</v>
      </c>
      <c r="AU38">
        <v>-3</v>
      </c>
      <c r="AV38">
        <v>-38</v>
      </c>
      <c r="AW38">
        <v>0</v>
      </c>
      <c r="AX38">
        <v>3</v>
      </c>
      <c r="AY38">
        <v>-38</v>
      </c>
    </row>
    <row r="39" spans="1:54">
      <c r="A39" t="s">
        <v>54</v>
      </c>
    </row>
    <row r="40" spans="1:54">
      <c r="A40" t="s">
        <v>55</v>
      </c>
      <c r="B40" t="s">
        <v>56</v>
      </c>
      <c r="C40" t="s">
        <v>61</v>
      </c>
      <c r="D40" t="s">
        <v>66</v>
      </c>
      <c r="E40" t="s">
        <v>59</v>
      </c>
      <c r="F40" t="s">
        <v>60</v>
      </c>
    </row>
    <row r="41" spans="1:54">
      <c r="A41">
        <v>6</v>
      </c>
      <c r="B41">
        <v>9</v>
      </c>
      <c r="C41">
        <v>10</v>
      </c>
      <c r="D41">
        <v>11</v>
      </c>
      <c r="E41">
        <v>4</v>
      </c>
      <c r="F41">
        <v>8</v>
      </c>
      <c r="G41">
        <v>5</v>
      </c>
      <c r="H41">
        <v>6</v>
      </c>
      <c r="I41">
        <v>0</v>
      </c>
      <c r="J41">
        <v>7</v>
      </c>
      <c r="K41">
        <v>8</v>
      </c>
      <c r="L41">
        <v>10</v>
      </c>
      <c r="M41">
        <v>8</v>
      </c>
      <c r="N41">
        <v>9</v>
      </c>
      <c r="O41">
        <v>2</v>
      </c>
      <c r="P41">
        <v>12</v>
      </c>
      <c r="Q41">
        <v>1</v>
      </c>
      <c r="R41">
        <v>2</v>
      </c>
      <c r="S41">
        <v>6</v>
      </c>
      <c r="T41">
        <v>7</v>
      </c>
      <c r="U41">
        <v>5</v>
      </c>
      <c r="V41">
        <v>12</v>
      </c>
      <c r="W41">
        <v>10</v>
      </c>
      <c r="X41">
        <v>12</v>
      </c>
      <c r="Y41">
        <v>13</v>
      </c>
      <c r="Z41">
        <v>16</v>
      </c>
      <c r="AA41">
        <v>1</v>
      </c>
      <c r="AB41">
        <v>5</v>
      </c>
      <c r="AC41">
        <v>9</v>
      </c>
      <c r="AD41">
        <v>11</v>
      </c>
      <c r="AE41">
        <v>0</v>
      </c>
      <c r="AF41">
        <v>4</v>
      </c>
      <c r="AG41">
        <v>6</v>
      </c>
      <c r="AH41">
        <v>11</v>
      </c>
      <c r="AI41">
        <v>13</v>
      </c>
      <c r="AJ41">
        <v>15</v>
      </c>
      <c r="AK41">
        <v>2</v>
      </c>
      <c r="AL41">
        <v>3</v>
      </c>
      <c r="AM41">
        <v>11</v>
      </c>
      <c r="AN41">
        <v>12</v>
      </c>
      <c r="AO41">
        <v>7</v>
      </c>
      <c r="AP41">
        <v>9</v>
      </c>
      <c r="AQ41">
        <v>0</v>
      </c>
      <c r="AR41">
        <v>1</v>
      </c>
      <c r="AS41">
        <v>14</v>
      </c>
      <c r="AT41">
        <v>16</v>
      </c>
      <c r="AU41">
        <v>3</v>
      </c>
      <c r="AV41">
        <v>8</v>
      </c>
      <c r="AW41">
        <v>14</v>
      </c>
      <c r="AX41">
        <v>15</v>
      </c>
      <c r="AY41">
        <v>3</v>
      </c>
      <c r="AZ41">
        <v>4</v>
      </c>
      <c r="BA41">
        <v>3</v>
      </c>
      <c r="BB41">
        <v>10</v>
      </c>
    </row>
    <row r="42" spans="1:54">
      <c r="A42" t="s">
        <v>54</v>
      </c>
    </row>
    <row r="43" spans="1:54">
      <c r="A43" t="s">
        <v>55</v>
      </c>
      <c r="B43" t="s">
        <v>56</v>
      </c>
      <c r="C43" t="s">
        <v>57</v>
      </c>
      <c r="D43" t="s">
        <v>67</v>
      </c>
      <c r="E43" t="s">
        <v>59</v>
      </c>
      <c r="F43" t="s">
        <v>60</v>
      </c>
    </row>
    <row r="44" spans="1:54">
      <c r="A44">
        <v>0</v>
      </c>
      <c r="B44">
        <v>63</v>
      </c>
      <c r="C44">
        <v>0</v>
      </c>
      <c r="D44">
        <v>-63</v>
      </c>
      <c r="E44">
        <v>-7</v>
      </c>
      <c r="F44">
        <v>0</v>
      </c>
      <c r="G44">
        <v>0</v>
      </c>
      <c r="H44">
        <v>-63</v>
      </c>
      <c r="I44">
        <v>0</v>
      </c>
      <c r="J44">
        <v>55</v>
      </c>
      <c r="K44">
        <v>-31</v>
      </c>
      <c r="L44">
        <v>0</v>
      </c>
      <c r="M44">
        <v>47</v>
      </c>
      <c r="N44">
        <v>39</v>
      </c>
      <c r="O44">
        <v>0</v>
      </c>
      <c r="P44">
        <v>39</v>
      </c>
      <c r="Q44">
        <v>0</v>
      </c>
      <c r="R44">
        <v>47</v>
      </c>
      <c r="S44">
        <v>-31</v>
      </c>
      <c r="T44">
        <v>0</v>
      </c>
      <c r="U44">
        <v>55</v>
      </c>
      <c r="V44">
        <v>0</v>
      </c>
      <c r="W44">
        <v>23</v>
      </c>
      <c r="X44">
        <v>-59</v>
      </c>
      <c r="Y44">
        <v>0</v>
      </c>
      <c r="Z44">
        <v>-39</v>
      </c>
      <c r="AA44">
        <v>-47</v>
      </c>
    </row>
    <row r="45" spans="1:54">
      <c r="A45" t="s">
        <v>54</v>
      </c>
    </row>
    <row r="46" spans="1:54">
      <c r="A46" t="s">
        <v>55</v>
      </c>
      <c r="B46" t="s">
        <v>56</v>
      </c>
      <c r="C46" t="s">
        <v>61</v>
      </c>
      <c r="D46" t="s">
        <v>68</v>
      </c>
      <c r="E46" t="s">
        <v>59</v>
      </c>
      <c r="F46" t="s">
        <v>60</v>
      </c>
    </row>
    <row r="47" spans="1:54">
      <c r="A47">
        <v>0</v>
      </c>
      <c r="B47">
        <v>1</v>
      </c>
      <c r="C47">
        <v>1</v>
      </c>
      <c r="D47">
        <v>2</v>
      </c>
      <c r="E47">
        <v>4</v>
      </c>
      <c r="F47">
        <v>7</v>
      </c>
      <c r="G47">
        <v>2</v>
      </c>
      <c r="H47">
        <v>6</v>
      </c>
      <c r="I47">
        <v>3</v>
      </c>
      <c r="J47">
        <v>7</v>
      </c>
      <c r="K47">
        <v>5</v>
      </c>
      <c r="L47">
        <v>6</v>
      </c>
      <c r="M47">
        <v>7</v>
      </c>
      <c r="N47">
        <v>8</v>
      </c>
      <c r="O47">
        <v>0</v>
      </c>
      <c r="P47">
        <v>4</v>
      </c>
      <c r="Q47">
        <v>2</v>
      </c>
      <c r="R47">
        <v>8</v>
      </c>
      <c r="S47">
        <v>0</v>
      </c>
      <c r="T47">
        <v>7</v>
      </c>
      <c r="U47">
        <v>1</v>
      </c>
      <c r="V47">
        <v>7</v>
      </c>
      <c r="W47">
        <v>3</v>
      </c>
      <c r="X47">
        <v>8</v>
      </c>
      <c r="Y47">
        <v>0</v>
      </c>
      <c r="Z47">
        <v>6</v>
      </c>
      <c r="AA47">
        <v>1</v>
      </c>
      <c r="AB47">
        <v>8</v>
      </c>
      <c r="AC47">
        <v>0</v>
      </c>
      <c r="AD47">
        <v>5</v>
      </c>
      <c r="AE47">
        <v>4</v>
      </c>
      <c r="AF47">
        <v>5</v>
      </c>
      <c r="AG47">
        <v>2</v>
      </c>
      <c r="AH47">
        <v>3</v>
      </c>
      <c r="AI47">
        <v>1</v>
      </c>
      <c r="AJ47">
        <v>6</v>
      </c>
      <c r="AK47">
        <v>2</v>
      </c>
      <c r="AL47">
        <v>5</v>
      </c>
      <c r="AM47">
        <v>3</v>
      </c>
      <c r="AN47">
        <v>4</v>
      </c>
      <c r="AO47">
        <v>3</v>
      </c>
      <c r="AP47">
        <v>5</v>
      </c>
    </row>
    <row r="48" spans="1:54">
      <c r="A48" t="s">
        <v>54</v>
      </c>
    </row>
    <row r="49" spans="1:48">
      <c r="A49" t="s">
        <v>55</v>
      </c>
      <c r="B49" t="s">
        <v>56</v>
      </c>
      <c r="C49" t="s">
        <v>57</v>
      </c>
      <c r="D49" t="s">
        <v>69</v>
      </c>
      <c r="E49" t="s">
        <v>59</v>
      </c>
      <c r="F49" t="s">
        <v>60</v>
      </c>
    </row>
    <row r="50" spans="1:48">
      <c r="A50">
        <v>63</v>
      </c>
      <c r="B50">
        <v>42</v>
      </c>
      <c r="C50">
        <v>0</v>
      </c>
      <c r="D50">
        <v>63</v>
      </c>
      <c r="E50">
        <v>13</v>
      </c>
      <c r="F50">
        <v>39</v>
      </c>
      <c r="G50">
        <v>63</v>
      </c>
      <c r="H50">
        <v>-34</v>
      </c>
      <c r="I50">
        <v>23</v>
      </c>
      <c r="J50">
        <v>63</v>
      </c>
      <c r="K50">
        <v>-34</v>
      </c>
      <c r="L50">
        <v>-23</v>
      </c>
      <c r="M50">
        <v>63</v>
      </c>
      <c r="N50">
        <v>13</v>
      </c>
      <c r="O50">
        <v>-39</v>
      </c>
      <c r="P50">
        <v>-63</v>
      </c>
      <c r="Q50">
        <v>42</v>
      </c>
      <c r="R50">
        <v>0</v>
      </c>
      <c r="S50">
        <v>-63</v>
      </c>
      <c r="T50">
        <v>13</v>
      </c>
      <c r="U50">
        <v>39</v>
      </c>
      <c r="V50">
        <v>-63</v>
      </c>
      <c r="W50">
        <v>-34</v>
      </c>
      <c r="X50">
        <v>23</v>
      </c>
      <c r="Y50">
        <v>-63</v>
      </c>
      <c r="Z50">
        <v>-34</v>
      </c>
      <c r="AA50">
        <v>-23</v>
      </c>
      <c r="AB50">
        <v>-63</v>
      </c>
      <c r="AC50">
        <v>13</v>
      </c>
      <c r="AD50">
        <v>-39</v>
      </c>
    </row>
    <row r="51" spans="1:48">
      <c r="A51" t="s">
        <v>54</v>
      </c>
    </row>
    <row r="52" spans="1:48">
      <c r="A52" t="s">
        <v>55</v>
      </c>
      <c r="B52" t="s">
        <v>56</v>
      </c>
      <c r="C52" t="s">
        <v>61</v>
      </c>
      <c r="D52" t="s">
        <v>70</v>
      </c>
      <c r="E52" t="s">
        <v>59</v>
      </c>
      <c r="F52" t="s">
        <v>60</v>
      </c>
    </row>
    <row r="53" spans="1:48">
      <c r="A53">
        <v>0</v>
      </c>
      <c r="B53">
        <v>1</v>
      </c>
      <c r="C53">
        <v>1</v>
      </c>
      <c r="D53">
        <v>2</v>
      </c>
      <c r="E53">
        <v>6</v>
      </c>
      <c r="F53">
        <v>7</v>
      </c>
      <c r="G53">
        <v>5</v>
      </c>
      <c r="H53">
        <v>9</v>
      </c>
      <c r="I53">
        <v>5</v>
      </c>
      <c r="J53">
        <v>6</v>
      </c>
      <c r="K53">
        <v>7</v>
      </c>
      <c r="L53">
        <v>8</v>
      </c>
      <c r="M53">
        <v>2</v>
      </c>
      <c r="N53">
        <v>7</v>
      </c>
      <c r="O53">
        <v>1</v>
      </c>
      <c r="P53">
        <v>6</v>
      </c>
      <c r="Q53">
        <v>3</v>
      </c>
      <c r="R53">
        <v>8</v>
      </c>
      <c r="S53">
        <v>2</v>
      </c>
      <c r="T53">
        <v>3</v>
      </c>
      <c r="U53">
        <v>0</v>
      </c>
      <c r="V53">
        <v>4</v>
      </c>
      <c r="W53">
        <v>0</v>
      </c>
      <c r="X53">
        <v>5</v>
      </c>
      <c r="Y53">
        <v>8</v>
      </c>
      <c r="Z53">
        <v>9</v>
      </c>
      <c r="AA53">
        <v>4</v>
      </c>
      <c r="AB53">
        <v>9</v>
      </c>
      <c r="AC53">
        <v>3</v>
      </c>
      <c r="AD53">
        <v>4</v>
      </c>
    </row>
    <row r="54" spans="1:48">
      <c r="A54" t="s">
        <v>54</v>
      </c>
    </row>
    <row r="55" spans="1:48">
      <c r="A55" t="s">
        <v>55</v>
      </c>
      <c r="B55" t="s">
        <v>56</v>
      </c>
      <c r="C55" t="s">
        <v>57</v>
      </c>
      <c r="D55" t="s">
        <v>71</v>
      </c>
      <c r="E55" t="s">
        <v>59</v>
      </c>
      <c r="F55" t="s">
        <v>60</v>
      </c>
    </row>
    <row r="56" spans="1:48">
      <c r="A56">
        <v>0</v>
      </c>
      <c r="B56">
        <v>0</v>
      </c>
      <c r="C56">
        <v>54</v>
      </c>
      <c r="D56">
        <v>0</v>
      </c>
      <c r="E56">
        <v>23</v>
      </c>
      <c r="F56">
        <v>-51</v>
      </c>
      <c r="G56">
        <v>22</v>
      </c>
      <c r="H56">
        <v>-14</v>
      </c>
      <c r="I56">
        <v>-58</v>
      </c>
      <c r="J56">
        <v>-22</v>
      </c>
      <c r="K56">
        <v>-14</v>
      </c>
      <c r="L56">
        <v>-58</v>
      </c>
      <c r="M56">
        <v>-22</v>
      </c>
      <c r="N56">
        <v>23</v>
      </c>
      <c r="O56">
        <v>-34</v>
      </c>
      <c r="P56">
        <v>22</v>
      </c>
      <c r="Q56">
        <v>23</v>
      </c>
      <c r="R56">
        <v>-34</v>
      </c>
      <c r="S56">
        <v>36</v>
      </c>
      <c r="T56">
        <v>0</v>
      </c>
      <c r="U56">
        <v>-39</v>
      </c>
      <c r="V56">
        <v>14</v>
      </c>
      <c r="W56">
        <v>-38</v>
      </c>
      <c r="X56">
        <v>-46</v>
      </c>
      <c r="Y56">
        <v>-14</v>
      </c>
      <c r="Z56">
        <v>-38</v>
      </c>
      <c r="AA56">
        <v>-46</v>
      </c>
      <c r="AB56">
        <v>-36</v>
      </c>
      <c r="AC56">
        <v>0</v>
      </c>
      <c r="AD56">
        <v>-39</v>
      </c>
      <c r="AE56">
        <v>0</v>
      </c>
      <c r="AF56">
        <v>4</v>
      </c>
      <c r="AG56">
        <v>-62</v>
      </c>
      <c r="AH56">
        <v>7</v>
      </c>
      <c r="AI56">
        <v>-5</v>
      </c>
      <c r="AJ56">
        <v>-62</v>
      </c>
      <c r="AK56">
        <v>-7</v>
      </c>
      <c r="AL56">
        <v>-5</v>
      </c>
      <c r="AM56">
        <v>-62</v>
      </c>
    </row>
    <row r="57" spans="1:48">
      <c r="A57" t="s">
        <v>54</v>
      </c>
    </row>
    <row r="58" spans="1:48">
      <c r="A58" t="s">
        <v>55</v>
      </c>
      <c r="B58" t="s">
        <v>56</v>
      </c>
      <c r="C58" t="s">
        <v>61</v>
      </c>
      <c r="D58" t="s">
        <v>72</v>
      </c>
      <c r="E58" t="s">
        <v>59</v>
      </c>
      <c r="F58" t="s">
        <v>60</v>
      </c>
    </row>
    <row r="59" spans="1:48">
      <c r="A59">
        <v>10</v>
      </c>
      <c r="B59">
        <v>11</v>
      </c>
      <c r="C59">
        <v>5</v>
      </c>
      <c r="D59">
        <v>6</v>
      </c>
      <c r="E59">
        <v>0</v>
      </c>
      <c r="F59">
        <v>7</v>
      </c>
      <c r="G59">
        <v>8</v>
      </c>
      <c r="H59">
        <v>9</v>
      </c>
      <c r="I59">
        <v>6</v>
      </c>
      <c r="J59">
        <v>7</v>
      </c>
      <c r="K59">
        <v>10</v>
      </c>
      <c r="L59">
        <v>12</v>
      </c>
      <c r="M59">
        <v>1</v>
      </c>
      <c r="N59">
        <v>5</v>
      </c>
      <c r="O59">
        <v>0</v>
      </c>
      <c r="P59">
        <v>4</v>
      </c>
      <c r="Q59">
        <v>1</v>
      </c>
      <c r="R59">
        <v>10</v>
      </c>
      <c r="S59">
        <v>2</v>
      </c>
      <c r="T59">
        <v>6</v>
      </c>
      <c r="U59">
        <v>4</v>
      </c>
      <c r="V59">
        <v>5</v>
      </c>
      <c r="W59">
        <v>1</v>
      </c>
      <c r="X59">
        <v>4</v>
      </c>
      <c r="Y59">
        <v>3</v>
      </c>
      <c r="Z59">
        <v>9</v>
      </c>
      <c r="AA59">
        <v>0</v>
      </c>
      <c r="AB59">
        <v>5</v>
      </c>
      <c r="AC59">
        <v>4</v>
      </c>
      <c r="AD59">
        <v>9</v>
      </c>
      <c r="AE59">
        <v>0</v>
      </c>
      <c r="AF59">
        <v>8</v>
      </c>
      <c r="AG59">
        <v>11</v>
      </c>
      <c r="AH59">
        <v>12</v>
      </c>
      <c r="AI59">
        <v>2</v>
      </c>
      <c r="AJ59">
        <v>7</v>
      </c>
      <c r="AK59">
        <v>3</v>
      </c>
      <c r="AL59">
        <v>12</v>
      </c>
      <c r="AM59">
        <v>2</v>
      </c>
      <c r="AN59">
        <v>11</v>
      </c>
      <c r="AO59">
        <v>3</v>
      </c>
      <c r="AP59">
        <v>8</v>
      </c>
      <c r="AQ59">
        <v>0</v>
      </c>
      <c r="AR59">
        <v>6</v>
      </c>
      <c r="AS59">
        <v>0</v>
      </c>
      <c r="AT59">
        <v>9</v>
      </c>
      <c r="AU59">
        <v>7</v>
      </c>
      <c r="AV59">
        <v>8</v>
      </c>
    </row>
    <row r="60" spans="1:48">
      <c r="A60" t="s">
        <v>54</v>
      </c>
    </row>
    <row r="61" spans="1:48">
      <c r="A61" t="s">
        <v>55</v>
      </c>
      <c r="B61" t="s">
        <v>56</v>
      </c>
      <c r="C61" t="s">
        <v>57</v>
      </c>
      <c r="D61" t="s">
        <v>73</v>
      </c>
      <c r="E61" t="s">
        <v>59</v>
      </c>
      <c r="F61" t="s">
        <v>60</v>
      </c>
    </row>
    <row r="62" spans="1:48">
      <c r="A62">
        <v>-29</v>
      </c>
      <c r="B62">
        <v>59</v>
      </c>
      <c r="C62">
        <v>-17</v>
      </c>
      <c r="D62">
        <v>48</v>
      </c>
      <c r="E62">
        <v>11</v>
      </c>
      <c r="F62">
        <v>19</v>
      </c>
      <c r="G62">
        <v>45</v>
      </c>
      <c r="H62">
        <v>-11</v>
      </c>
      <c r="I62">
        <v>-19</v>
      </c>
      <c r="J62">
        <v>3</v>
      </c>
      <c r="K62">
        <v>0</v>
      </c>
      <c r="L62">
        <v>-63</v>
      </c>
      <c r="M62">
        <v>-45</v>
      </c>
      <c r="N62">
        <v>54</v>
      </c>
      <c r="O62">
        <v>-48</v>
      </c>
      <c r="P62">
        <v>8</v>
      </c>
      <c r="Q62">
        <v>-16</v>
      </c>
      <c r="R62">
        <v>21</v>
      </c>
      <c r="S62">
        <v>32</v>
      </c>
      <c r="T62">
        <v>27</v>
      </c>
      <c r="U62">
        <v>-48</v>
      </c>
    </row>
    <row r="63" spans="1:48">
      <c r="A63" t="s">
        <v>54</v>
      </c>
    </row>
    <row r="64" spans="1:48">
      <c r="A64" t="s">
        <v>55</v>
      </c>
      <c r="B64" t="s">
        <v>56</v>
      </c>
      <c r="C64" t="s">
        <v>61</v>
      </c>
      <c r="D64" t="s">
        <v>74</v>
      </c>
      <c r="E64" t="s">
        <v>59</v>
      </c>
      <c r="F64" t="s">
        <v>60</v>
      </c>
    </row>
    <row r="65" spans="1:84">
      <c r="A65">
        <v>0</v>
      </c>
      <c r="B65">
        <v>1</v>
      </c>
      <c r="C65">
        <v>1</v>
      </c>
      <c r="D65">
        <v>2</v>
      </c>
      <c r="E65">
        <v>2</v>
      </c>
      <c r="F65">
        <v>6</v>
      </c>
      <c r="G65">
        <v>4</v>
      </c>
      <c r="H65">
        <v>6</v>
      </c>
      <c r="I65">
        <v>0</v>
      </c>
      <c r="J65">
        <v>6</v>
      </c>
      <c r="K65">
        <v>4</v>
      </c>
      <c r="L65">
        <v>5</v>
      </c>
      <c r="M65">
        <v>1</v>
      </c>
      <c r="N65">
        <v>6</v>
      </c>
      <c r="O65">
        <v>1</v>
      </c>
      <c r="P65">
        <v>5</v>
      </c>
      <c r="Q65">
        <v>0</v>
      </c>
      <c r="R65">
        <v>5</v>
      </c>
      <c r="S65">
        <v>3</v>
      </c>
      <c r="T65">
        <v>6</v>
      </c>
      <c r="U65">
        <v>0</v>
      </c>
      <c r="V65">
        <v>4</v>
      </c>
      <c r="W65">
        <v>2</v>
      </c>
      <c r="X65">
        <v>3</v>
      </c>
      <c r="Y65">
        <v>2</v>
      </c>
      <c r="Z65">
        <v>5</v>
      </c>
      <c r="AA65">
        <v>3</v>
      </c>
      <c r="AB65">
        <v>4</v>
      </c>
      <c r="AC65">
        <v>3</v>
      </c>
      <c r="AD65">
        <v>5</v>
      </c>
    </row>
    <row r="66" spans="1:84">
      <c r="A66" t="s">
        <v>54</v>
      </c>
    </row>
    <row r="67" spans="1:84">
      <c r="A67" t="s">
        <v>55</v>
      </c>
      <c r="B67" t="s">
        <v>56</v>
      </c>
      <c r="C67" t="s">
        <v>57</v>
      </c>
      <c r="D67" t="s">
        <v>75</v>
      </c>
      <c r="E67" t="s">
        <v>59</v>
      </c>
      <c r="F67" t="s">
        <v>60</v>
      </c>
    </row>
    <row r="68" spans="1:84">
      <c r="A68">
        <v>-12</v>
      </c>
      <c r="B68">
        <v>0</v>
      </c>
      <c r="C68">
        <v>63</v>
      </c>
      <c r="D68">
        <v>-12</v>
      </c>
      <c r="E68">
        <v>-24</v>
      </c>
      <c r="F68">
        <v>-21</v>
      </c>
      <c r="G68">
        <v>-12</v>
      </c>
      <c r="H68">
        <v>24</v>
      </c>
      <c r="I68">
        <v>-21</v>
      </c>
      <c r="J68">
        <v>36</v>
      </c>
      <c r="K68">
        <v>0</v>
      </c>
      <c r="L68">
        <v>0</v>
      </c>
    </row>
    <row r="69" spans="1:84">
      <c r="A69" t="s">
        <v>54</v>
      </c>
    </row>
    <row r="70" spans="1:84">
      <c r="A70" t="s">
        <v>55</v>
      </c>
      <c r="B70" t="s">
        <v>56</v>
      </c>
      <c r="C70" t="s">
        <v>61</v>
      </c>
      <c r="D70" t="s">
        <v>76</v>
      </c>
      <c r="E70" t="s">
        <v>59</v>
      </c>
      <c r="F70" t="s">
        <v>60</v>
      </c>
    </row>
    <row r="71" spans="1:84">
      <c r="A71">
        <v>1</v>
      </c>
      <c r="B71">
        <v>2</v>
      </c>
      <c r="C71">
        <v>0</v>
      </c>
      <c r="D71">
        <v>1</v>
      </c>
      <c r="E71">
        <v>1</v>
      </c>
      <c r="F71">
        <v>3</v>
      </c>
      <c r="G71">
        <v>2</v>
      </c>
      <c r="H71">
        <v>3</v>
      </c>
      <c r="I71">
        <v>0</v>
      </c>
      <c r="J71">
        <v>3</v>
      </c>
      <c r="K71">
        <v>0</v>
      </c>
      <c r="L71">
        <v>2</v>
      </c>
    </row>
    <row r="72" spans="1:84">
      <c r="A72" t="s">
        <v>54</v>
      </c>
    </row>
    <row r="73" spans="1:84">
      <c r="A73" t="s">
        <v>55</v>
      </c>
      <c r="B73" t="s">
        <v>56</v>
      </c>
      <c r="C73" t="s">
        <v>57</v>
      </c>
      <c r="D73" t="s">
        <v>77</v>
      </c>
      <c r="E73" t="s">
        <v>59</v>
      </c>
      <c r="F73" t="s">
        <v>60</v>
      </c>
    </row>
    <row r="74" spans="1:84">
      <c r="A74">
        <v>15</v>
      </c>
      <c r="B74">
        <v>0</v>
      </c>
      <c r="C74">
        <v>37</v>
      </c>
      <c r="D74">
        <v>-15</v>
      </c>
      <c r="E74">
        <v>0</v>
      </c>
      <c r="F74">
        <v>37</v>
      </c>
      <c r="G74">
        <v>0</v>
      </c>
      <c r="H74">
        <v>12</v>
      </c>
      <c r="I74">
        <v>11</v>
      </c>
      <c r="J74">
        <v>-59</v>
      </c>
      <c r="K74">
        <v>-1</v>
      </c>
      <c r="L74">
        <v>-3</v>
      </c>
      <c r="M74">
        <v>59</v>
      </c>
      <c r="N74">
        <v>-1</v>
      </c>
      <c r="O74">
        <v>-3</v>
      </c>
      <c r="P74">
        <v>-43</v>
      </c>
      <c r="Q74">
        <v>7</v>
      </c>
      <c r="R74">
        <v>-19</v>
      </c>
      <c r="S74">
        <v>43</v>
      </c>
      <c r="T74">
        <v>7</v>
      </c>
      <c r="U74">
        <v>-19</v>
      </c>
      <c r="V74">
        <v>63</v>
      </c>
      <c r="W74">
        <v>-3</v>
      </c>
      <c r="X74">
        <v>-19</v>
      </c>
      <c r="Y74">
        <v>-63</v>
      </c>
      <c r="Z74">
        <v>-3</v>
      </c>
      <c r="AA74">
        <v>-19</v>
      </c>
      <c r="AB74">
        <v>0</v>
      </c>
      <c r="AC74">
        <v>12</v>
      </c>
      <c r="AD74">
        <v>-19</v>
      </c>
      <c r="AE74">
        <v>-15</v>
      </c>
      <c r="AF74">
        <v>-11</v>
      </c>
      <c r="AG74">
        <v>-19</v>
      </c>
      <c r="AH74">
        <v>15</v>
      </c>
      <c r="AI74">
        <v>-11</v>
      </c>
      <c r="AJ74">
        <v>-19</v>
      </c>
      <c r="AK74">
        <v>-17</v>
      </c>
      <c r="AL74">
        <v>3</v>
      </c>
      <c r="AM74">
        <v>-19</v>
      </c>
      <c r="AN74">
        <v>-3</v>
      </c>
      <c r="AO74">
        <v>5</v>
      </c>
      <c r="AP74">
        <v>-19</v>
      </c>
      <c r="AQ74">
        <v>3</v>
      </c>
      <c r="AR74">
        <v>5</v>
      </c>
      <c r="AS74">
        <v>-19</v>
      </c>
      <c r="AT74">
        <v>17</v>
      </c>
      <c r="AU74">
        <v>3</v>
      </c>
      <c r="AV74">
        <v>-19</v>
      </c>
      <c r="AW74">
        <v>17</v>
      </c>
      <c r="AX74">
        <v>-5</v>
      </c>
      <c r="AY74">
        <v>-19</v>
      </c>
      <c r="AZ74">
        <v>3</v>
      </c>
      <c r="BA74">
        <v>-7</v>
      </c>
      <c r="BB74">
        <v>-19</v>
      </c>
      <c r="BC74">
        <v>-3</v>
      </c>
      <c r="BD74">
        <v>-7</v>
      </c>
      <c r="BE74">
        <v>-19</v>
      </c>
      <c r="BF74">
        <v>-17</v>
      </c>
      <c r="BG74">
        <v>-5</v>
      </c>
      <c r="BH74">
        <v>-19</v>
      </c>
      <c r="BI74">
        <v>0</v>
      </c>
      <c r="BJ74">
        <v>0</v>
      </c>
      <c r="BK74">
        <v>37</v>
      </c>
      <c r="BL74">
        <v>0</v>
      </c>
      <c r="BM74">
        <v>0</v>
      </c>
      <c r="BN74">
        <v>44</v>
      </c>
      <c r="BO74">
        <v>-39</v>
      </c>
      <c r="BP74">
        <v>-2</v>
      </c>
      <c r="BQ74">
        <v>-19</v>
      </c>
      <c r="BR74">
        <v>-39</v>
      </c>
      <c r="BS74">
        <v>2</v>
      </c>
      <c r="BT74">
        <v>-19</v>
      </c>
      <c r="BU74">
        <v>-43</v>
      </c>
      <c r="BV74">
        <v>0</v>
      </c>
      <c r="BW74">
        <v>-19</v>
      </c>
      <c r="BX74">
        <v>39</v>
      </c>
      <c r="BY74">
        <v>2</v>
      </c>
      <c r="BZ74">
        <v>-19</v>
      </c>
      <c r="CA74">
        <v>43</v>
      </c>
      <c r="CB74">
        <v>0</v>
      </c>
      <c r="CC74">
        <v>-19</v>
      </c>
      <c r="CD74">
        <v>39</v>
      </c>
      <c r="CE74">
        <v>-2</v>
      </c>
      <c r="CF74">
        <v>-19</v>
      </c>
    </row>
    <row r="75" spans="1:84">
      <c r="A75" t="s">
        <v>54</v>
      </c>
    </row>
    <row r="76" spans="1:84">
      <c r="A76" t="s">
        <v>55</v>
      </c>
      <c r="B76" t="s">
        <v>56</v>
      </c>
      <c r="C76" t="s">
        <v>61</v>
      </c>
      <c r="D76" t="s">
        <v>78</v>
      </c>
      <c r="E76" t="s">
        <v>59</v>
      </c>
      <c r="F76" t="s">
        <v>60</v>
      </c>
    </row>
    <row r="77" spans="1:84">
      <c r="A77">
        <v>5</v>
      </c>
      <c r="B77">
        <v>9</v>
      </c>
      <c r="C77">
        <v>6</v>
      </c>
      <c r="D77">
        <v>9</v>
      </c>
      <c r="E77">
        <v>1</v>
      </c>
      <c r="F77">
        <v>3</v>
      </c>
      <c r="G77">
        <v>10</v>
      </c>
      <c r="H77">
        <v>11</v>
      </c>
      <c r="I77">
        <v>4</v>
      </c>
      <c r="J77">
        <v>7</v>
      </c>
      <c r="K77">
        <v>14</v>
      </c>
      <c r="L77">
        <v>17</v>
      </c>
      <c r="M77">
        <v>25</v>
      </c>
      <c r="N77">
        <v>27</v>
      </c>
      <c r="O77">
        <v>18</v>
      </c>
      <c r="P77">
        <v>19</v>
      </c>
      <c r="Q77">
        <v>7</v>
      </c>
      <c r="R77">
        <v>11</v>
      </c>
      <c r="S77">
        <v>2</v>
      </c>
      <c r="T77">
        <v>5</v>
      </c>
      <c r="U77">
        <v>5</v>
      </c>
      <c r="V77">
        <v>8</v>
      </c>
      <c r="W77">
        <v>1</v>
      </c>
      <c r="X77">
        <v>2</v>
      </c>
      <c r="Y77">
        <v>6</v>
      </c>
      <c r="Z77">
        <v>7</v>
      </c>
      <c r="AA77">
        <v>2</v>
      </c>
      <c r="AB77">
        <v>9</v>
      </c>
      <c r="AC77">
        <v>12</v>
      </c>
      <c r="AD77">
        <v>13</v>
      </c>
      <c r="AE77">
        <v>8</v>
      </c>
      <c r="AF77">
        <v>10</v>
      </c>
      <c r="AG77">
        <v>25</v>
      </c>
      <c r="AH77">
        <v>26</v>
      </c>
      <c r="AI77">
        <v>1</v>
      </c>
      <c r="AJ77">
        <v>5</v>
      </c>
      <c r="AK77">
        <v>0</v>
      </c>
      <c r="AL77">
        <v>11</v>
      </c>
      <c r="AM77">
        <v>0</v>
      </c>
      <c r="AN77">
        <v>4</v>
      </c>
      <c r="AO77">
        <v>1</v>
      </c>
      <c r="AP77">
        <v>10</v>
      </c>
      <c r="AQ77">
        <v>16</v>
      </c>
      <c r="AR77">
        <v>17</v>
      </c>
      <c r="AS77">
        <v>2</v>
      </c>
      <c r="AT77">
        <v>6</v>
      </c>
      <c r="AU77">
        <v>22</v>
      </c>
      <c r="AV77">
        <v>24</v>
      </c>
      <c r="AW77">
        <v>22</v>
      </c>
      <c r="AX77">
        <v>23</v>
      </c>
      <c r="AY77">
        <v>14</v>
      </c>
      <c r="AZ77">
        <v>15</v>
      </c>
      <c r="BA77">
        <v>23</v>
      </c>
      <c r="BB77">
        <v>24</v>
      </c>
      <c r="BC77">
        <v>3</v>
      </c>
      <c r="BD77">
        <v>5</v>
      </c>
      <c r="BE77">
        <v>0</v>
      </c>
      <c r="BF77">
        <v>1</v>
      </c>
      <c r="BG77">
        <v>26</v>
      </c>
      <c r="BH77">
        <v>27</v>
      </c>
      <c r="BI77">
        <v>4</v>
      </c>
      <c r="BJ77">
        <v>6</v>
      </c>
      <c r="BK77">
        <v>12</v>
      </c>
      <c r="BL77">
        <v>19</v>
      </c>
      <c r="BM77">
        <v>3</v>
      </c>
      <c r="BN77">
        <v>8</v>
      </c>
      <c r="BO77">
        <v>0</v>
      </c>
      <c r="BP77">
        <v>6</v>
      </c>
      <c r="BQ77">
        <v>13</v>
      </c>
      <c r="BR77">
        <v>18</v>
      </c>
      <c r="BS77">
        <v>15</v>
      </c>
      <c r="BT77">
        <v>16</v>
      </c>
      <c r="BU77">
        <v>0</v>
      </c>
      <c r="BV77">
        <v>2</v>
      </c>
    </row>
    <row r="78" spans="1:84">
      <c r="A78" t="s">
        <v>54</v>
      </c>
    </row>
    <row r="79" spans="1:84">
      <c r="A79" t="s">
        <v>55</v>
      </c>
      <c r="B79" t="s">
        <v>56</v>
      </c>
      <c r="C79" t="s">
        <v>57</v>
      </c>
      <c r="D79" t="s">
        <v>79</v>
      </c>
      <c r="E79" t="s">
        <v>59</v>
      </c>
      <c r="F79" t="s">
        <v>60</v>
      </c>
    </row>
    <row r="80" spans="1:84">
      <c r="A80">
        <v>-17</v>
      </c>
      <c r="B80">
        <v>0</v>
      </c>
      <c r="C80">
        <v>47</v>
      </c>
      <c r="D80">
        <v>17</v>
      </c>
      <c r="E80">
        <v>0</v>
      </c>
      <c r="F80">
        <v>47</v>
      </c>
      <c r="G80">
        <v>-63</v>
      </c>
      <c r="H80">
        <v>0</v>
      </c>
      <c r="I80">
        <v>6</v>
      </c>
      <c r="J80">
        <v>63</v>
      </c>
      <c r="K80">
        <v>0</v>
      </c>
      <c r="L80">
        <v>6</v>
      </c>
      <c r="M80">
        <v>-30</v>
      </c>
      <c r="N80">
        <v>11</v>
      </c>
      <c r="O80">
        <v>-36</v>
      </c>
      <c r="P80">
        <v>30</v>
      </c>
      <c r="Q80">
        <v>11</v>
      </c>
      <c r="R80">
        <v>-36</v>
      </c>
      <c r="S80">
        <v>-51</v>
      </c>
      <c r="T80">
        <v>-11</v>
      </c>
      <c r="U80">
        <v>-36</v>
      </c>
      <c r="V80">
        <v>51</v>
      </c>
      <c r="W80">
        <v>-11</v>
      </c>
      <c r="X80">
        <v>-36</v>
      </c>
      <c r="Y80">
        <v>0</v>
      </c>
      <c r="Z80">
        <v>11</v>
      </c>
      <c r="AA80">
        <v>-5</v>
      </c>
      <c r="AB80">
        <v>0</v>
      </c>
      <c r="AC80">
        <v>0</v>
      </c>
      <c r="AD80">
        <v>47</v>
      </c>
      <c r="AE80">
        <v>0</v>
      </c>
      <c r="AF80">
        <v>0</v>
      </c>
      <c r="AG80">
        <v>57</v>
      </c>
    </row>
    <row r="81" spans="1:56">
      <c r="A81" t="s">
        <v>54</v>
      </c>
    </row>
    <row r="82" spans="1:56">
      <c r="A82" t="s">
        <v>55</v>
      </c>
      <c r="B82" t="s">
        <v>56</v>
      </c>
      <c r="C82" t="s">
        <v>61</v>
      </c>
      <c r="D82" t="s">
        <v>80</v>
      </c>
      <c r="E82" t="s">
        <v>59</v>
      </c>
      <c r="F82" t="s">
        <v>60</v>
      </c>
    </row>
    <row r="83" spans="1:56">
      <c r="A83">
        <v>0</v>
      </c>
      <c r="B83">
        <v>1</v>
      </c>
      <c r="C83">
        <v>2</v>
      </c>
      <c r="D83">
        <v>6</v>
      </c>
      <c r="E83">
        <v>6</v>
      </c>
      <c r="F83">
        <v>7</v>
      </c>
      <c r="G83">
        <v>4</v>
      </c>
      <c r="H83">
        <v>6</v>
      </c>
      <c r="I83">
        <v>4</v>
      </c>
      <c r="J83">
        <v>8</v>
      </c>
      <c r="K83">
        <v>4</v>
      </c>
      <c r="L83">
        <v>5</v>
      </c>
      <c r="M83">
        <v>5</v>
      </c>
      <c r="N83">
        <v>7</v>
      </c>
      <c r="O83">
        <v>2</v>
      </c>
      <c r="P83">
        <v>4</v>
      </c>
      <c r="Q83">
        <v>0</v>
      </c>
      <c r="R83">
        <v>6</v>
      </c>
      <c r="S83">
        <v>1</v>
      </c>
      <c r="T83">
        <v>8</v>
      </c>
      <c r="U83">
        <v>1</v>
      </c>
      <c r="V83">
        <v>3</v>
      </c>
      <c r="W83">
        <v>1</v>
      </c>
      <c r="X83">
        <v>7</v>
      </c>
      <c r="Y83">
        <v>3</v>
      </c>
      <c r="Z83">
        <v>7</v>
      </c>
      <c r="AA83">
        <v>0</v>
      </c>
      <c r="AB83">
        <v>8</v>
      </c>
      <c r="AC83">
        <v>0</v>
      </c>
      <c r="AD83">
        <v>2</v>
      </c>
      <c r="AE83">
        <v>5</v>
      </c>
      <c r="AF83">
        <v>8</v>
      </c>
      <c r="AG83">
        <v>3</v>
      </c>
      <c r="AH83">
        <v>5</v>
      </c>
    </row>
    <row r="84" spans="1:56">
      <c r="A84" t="s">
        <v>54</v>
      </c>
    </row>
    <row r="85" spans="1:56">
      <c r="A85" t="s">
        <v>55</v>
      </c>
      <c r="B85" t="s">
        <v>56</v>
      </c>
      <c r="C85" t="s">
        <v>57</v>
      </c>
      <c r="D85" t="s">
        <v>81</v>
      </c>
      <c r="E85" t="s">
        <v>59</v>
      </c>
      <c r="F85" t="s">
        <v>60</v>
      </c>
    </row>
    <row r="86" spans="1:56">
      <c r="A86">
        <v>15</v>
      </c>
      <c r="B86">
        <v>-5</v>
      </c>
      <c r="C86">
        <v>63</v>
      </c>
      <c r="D86">
        <v>-15</v>
      </c>
      <c r="E86">
        <v>-5</v>
      </c>
      <c r="F86">
        <v>63</v>
      </c>
      <c r="G86">
        <v>-42</v>
      </c>
      <c r="H86">
        <v>-5</v>
      </c>
      <c r="I86">
        <v>31</v>
      </c>
      <c r="J86">
        <v>-42</v>
      </c>
      <c r="K86">
        <v>-5</v>
      </c>
      <c r="L86">
        <v>-31</v>
      </c>
      <c r="M86">
        <v>-15</v>
      </c>
      <c r="N86">
        <v>10</v>
      </c>
      <c r="O86">
        <v>-31</v>
      </c>
      <c r="P86">
        <v>15</v>
      </c>
      <c r="Q86">
        <v>10</v>
      </c>
      <c r="R86">
        <v>-31</v>
      </c>
      <c r="S86">
        <v>42</v>
      </c>
      <c r="T86">
        <v>-5</v>
      </c>
      <c r="U86">
        <v>-31</v>
      </c>
      <c r="V86">
        <v>42</v>
      </c>
      <c r="W86">
        <v>-5</v>
      </c>
      <c r="X86">
        <v>31</v>
      </c>
      <c r="Y86">
        <v>15</v>
      </c>
      <c r="Z86">
        <v>10</v>
      </c>
      <c r="AA86">
        <v>3</v>
      </c>
      <c r="AB86">
        <v>-15</v>
      </c>
      <c r="AC86">
        <v>10</v>
      </c>
      <c r="AD86">
        <v>3</v>
      </c>
      <c r="AE86">
        <v>15</v>
      </c>
      <c r="AF86">
        <v>-5</v>
      </c>
      <c r="AG86">
        <v>48</v>
      </c>
      <c r="AH86">
        <v>-15</v>
      </c>
      <c r="AI86">
        <v>-5</v>
      </c>
      <c r="AJ86">
        <v>48</v>
      </c>
      <c r="AK86">
        <v>19</v>
      </c>
      <c r="AL86">
        <v>-5</v>
      </c>
      <c r="AM86">
        <v>-19</v>
      </c>
      <c r="AN86">
        <v>-19</v>
      </c>
      <c r="AO86">
        <v>-5</v>
      </c>
      <c r="AP86">
        <v>-19</v>
      </c>
      <c r="AQ86">
        <v>11</v>
      </c>
      <c r="AR86">
        <v>-5</v>
      </c>
      <c r="AS86">
        <v>-11</v>
      </c>
      <c r="AT86">
        <v>-11</v>
      </c>
      <c r="AU86">
        <v>-5</v>
      </c>
      <c r="AV86">
        <v>-11</v>
      </c>
      <c r="AW86">
        <v>0</v>
      </c>
      <c r="AX86">
        <v>-5</v>
      </c>
      <c r="AY86">
        <v>0</v>
      </c>
    </row>
    <row r="87" spans="1:56">
      <c r="A87" t="s">
        <v>54</v>
      </c>
    </row>
    <row r="88" spans="1:56">
      <c r="A88" t="s">
        <v>55</v>
      </c>
      <c r="B88" t="s">
        <v>56</v>
      </c>
      <c r="C88" t="s">
        <v>61</v>
      </c>
      <c r="D88" t="s">
        <v>82</v>
      </c>
      <c r="E88" t="s">
        <v>59</v>
      </c>
      <c r="F88" t="s">
        <v>60</v>
      </c>
    </row>
    <row r="89" spans="1:56">
      <c r="A89">
        <v>5</v>
      </c>
      <c r="B89">
        <v>6</v>
      </c>
      <c r="C89">
        <v>0</v>
      </c>
      <c r="D89">
        <v>7</v>
      </c>
      <c r="E89">
        <v>8</v>
      </c>
      <c r="F89">
        <v>9</v>
      </c>
      <c r="G89">
        <v>5</v>
      </c>
      <c r="H89">
        <v>8</v>
      </c>
      <c r="I89">
        <v>1</v>
      </c>
      <c r="J89">
        <v>2</v>
      </c>
      <c r="K89">
        <v>6</v>
      </c>
      <c r="L89">
        <v>7</v>
      </c>
      <c r="M89">
        <v>2</v>
      </c>
      <c r="N89">
        <v>9</v>
      </c>
      <c r="O89">
        <v>10</v>
      </c>
      <c r="P89">
        <v>12</v>
      </c>
      <c r="Q89">
        <v>3</v>
      </c>
      <c r="R89">
        <v>6</v>
      </c>
      <c r="S89">
        <v>11</v>
      </c>
      <c r="T89">
        <v>13</v>
      </c>
      <c r="U89">
        <v>12</v>
      </c>
      <c r="V89">
        <v>14</v>
      </c>
      <c r="W89">
        <v>4</v>
      </c>
      <c r="X89">
        <v>5</v>
      </c>
      <c r="Y89">
        <v>13</v>
      </c>
      <c r="Z89">
        <v>15</v>
      </c>
      <c r="AA89">
        <v>3</v>
      </c>
      <c r="AB89">
        <v>9</v>
      </c>
      <c r="AC89">
        <v>2</v>
      </c>
      <c r="AD89">
        <v>3</v>
      </c>
      <c r="AE89">
        <v>1</v>
      </c>
      <c r="AF89">
        <v>9</v>
      </c>
      <c r="AG89">
        <v>4</v>
      </c>
      <c r="AH89">
        <v>9</v>
      </c>
      <c r="AI89">
        <v>0</v>
      </c>
      <c r="AJ89">
        <v>8</v>
      </c>
      <c r="AK89">
        <v>0</v>
      </c>
      <c r="AL89">
        <v>1</v>
      </c>
      <c r="AM89">
        <v>6</v>
      </c>
      <c r="AN89">
        <v>8</v>
      </c>
      <c r="AO89">
        <v>7</v>
      </c>
      <c r="AP89">
        <v>8</v>
      </c>
      <c r="AQ89">
        <v>10</v>
      </c>
      <c r="AR89">
        <v>14</v>
      </c>
      <c r="AS89">
        <v>11</v>
      </c>
      <c r="AT89">
        <v>15</v>
      </c>
      <c r="AU89">
        <v>3</v>
      </c>
      <c r="AV89">
        <v>4</v>
      </c>
    </row>
    <row r="90" spans="1:56">
      <c r="A90" t="s">
        <v>54</v>
      </c>
    </row>
    <row r="91" spans="1:56">
      <c r="A91" t="s">
        <v>55</v>
      </c>
      <c r="B91" t="s">
        <v>56</v>
      </c>
      <c r="C91" t="s">
        <v>57</v>
      </c>
      <c r="D91" t="s">
        <v>83</v>
      </c>
      <c r="E91" t="s">
        <v>59</v>
      </c>
      <c r="F91" t="s">
        <v>60</v>
      </c>
    </row>
    <row r="92" spans="1:56">
      <c r="A92">
        <v>63</v>
      </c>
      <c r="B92">
        <v>0</v>
      </c>
      <c r="C92">
        <v>63</v>
      </c>
      <c r="D92">
        <v>0</v>
      </c>
      <c r="E92">
        <v>63</v>
      </c>
      <c r="F92">
        <v>63</v>
      </c>
      <c r="G92">
        <v>-63</v>
      </c>
      <c r="H92">
        <v>0</v>
      </c>
      <c r="I92">
        <v>63</v>
      </c>
      <c r="J92">
        <v>0</v>
      </c>
      <c r="K92">
        <v>-63</v>
      </c>
      <c r="L92">
        <v>63</v>
      </c>
      <c r="M92">
        <v>63</v>
      </c>
      <c r="N92">
        <v>-63</v>
      </c>
      <c r="O92">
        <v>0</v>
      </c>
      <c r="P92">
        <v>63</v>
      </c>
      <c r="Q92">
        <v>63</v>
      </c>
      <c r="R92">
        <v>0</v>
      </c>
      <c r="S92">
        <v>-63</v>
      </c>
      <c r="T92">
        <v>63</v>
      </c>
      <c r="U92">
        <v>0</v>
      </c>
      <c r="V92">
        <v>-63</v>
      </c>
      <c r="W92">
        <v>-63</v>
      </c>
      <c r="X92">
        <v>0</v>
      </c>
      <c r="Y92">
        <v>63</v>
      </c>
      <c r="Z92">
        <v>0</v>
      </c>
      <c r="AA92">
        <v>-63</v>
      </c>
      <c r="AB92">
        <v>0</v>
      </c>
      <c r="AC92">
        <v>63</v>
      </c>
      <c r="AD92">
        <v>-63</v>
      </c>
      <c r="AE92">
        <v>-63</v>
      </c>
      <c r="AF92">
        <v>0</v>
      </c>
      <c r="AG92">
        <v>-63</v>
      </c>
      <c r="AH92">
        <v>0</v>
      </c>
      <c r="AI92">
        <v>-63</v>
      </c>
      <c r="AJ92">
        <v>-63</v>
      </c>
      <c r="AK92">
        <v>3</v>
      </c>
      <c r="AL92">
        <v>-11</v>
      </c>
      <c r="AM92">
        <v>63</v>
      </c>
      <c r="AN92">
        <v>3</v>
      </c>
      <c r="AO92">
        <v>11</v>
      </c>
      <c r="AP92">
        <v>63</v>
      </c>
      <c r="AQ92">
        <v>-3</v>
      </c>
      <c r="AR92">
        <v>11</v>
      </c>
      <c r="AS92">
        <v>63</v>
      </c>
      <c r="AT92">
        <v>-3</v>
      </c>
      <c r="AU92">
        <v>-11</v>
      </c>
      <c r="AV92">
        <v>63</v>
      </c>
    </row>
    <row r="93" spans="1:56">
      <c r="A93" t="s">
        <v>54</v>
      </c>
    </row>
    <row r="94" spans="1:56">
      <c r="A94" t="s">
        <v>55</v>
      </c>
      <c r="B94" t="s">
        <v>56</v>
      </c>
      <c r="C94" t="s">
        <v>61</v>
      </c>
      <c r="D94" t="s">
        <v>84</v>
      </c>
      <c r="E94" t="s">
        <v>59</v>
      </c>
      <c r="F94" t="s">
        <v>60</v>
      </c>
    </row>
    <row r="95" spans="1:56">
      <c r="A95">
        <v>5</v>
      </c>
      <c r="B95">
        <v>9</v>
      </c>
      <c r="C95">
        <v>6</v>
      </c>
      <c r="D95">
        <v>9</v>
      </c>
      <c r="E95">
        <v>10</v>
      </c>
      <c r="F95">
        <v>11</v>
      </c>
      <c r="G95">
        <v>4</v>
      </c>
      <c r="H95">
        <v>8</v>
      </c>
      <c r="I95">
        <v>8</v>
      </c>
      <c r="J95">
        <v>9</v>
      </c>
      <c r="K95">
        <v>1</v>
      </c>
      <c r="L95">
        <v>6</v>
      </c>
      <c r="M95">
        <v>7</v>
      </c>
      <c r="N95">
        <v>11</v>
      </c>
      <c r="O95">
        <v>3</v>
      </c>
      <c r="P95">
        <v>7</v>
      </c>
      <c r="Q95">
        <v>0</v>
      </c>
      <c r="R95">
        <v>3</v>
      </c>
      <c r="S95">
        <v>5</v>
      </c>
      <c r="T95">
        <v>8</v>
      </c>
      <c r="U95">
        <v>1</v>
      </c>
      <c r="V95">
        <v>2</v>
      </c>
      <c r="W95">
        <v>12</v>
      </c>
      <c r="X95">
        <v>13</v>
      </c>
      <c r="Y95">
        <v>6</v>
      </c>
      <c r="Z95">
        <v>10</v>
      </c>
      <c r="AA95">
        <v>1</v>
      </c>
      <c r="AB95">
        <v>5</v>
      </c>
      <c r="AC95">
        <v>7</v>
      </c>
      <c r="AD95">
        <v>10</v>
      </c>
      <c r="AE95">
        <v>0</v>
      </c>
      <c r="AF95">
        <v>4</v>
      </c>
      <c r="AG95">
        <v>14</v>
      </c>
      <c r="AH95">
        <v>15</v>
      </c>
      <c r="AI95">
        <v>2</v>
      </c>
      <c r="AJ95">
        <v>7</v>
      </c>
      <c r="AK95">
        <v>2</v>
      </c>
      <c r="AL95">
        <v>6</v>
      </c>
      <c r="AM95">
        <v>8</v>
      </c>
      <c r="AN95">
        <v>11</v>
      </c>
      <c r="AO95">
        <v>9</v>
      </c>
      <c r="AP95">
        <v>10</v>
      </c>
      <c r="AQ95">
        <v>2</v>
      </c>
      <c r="AR95">
        <v>3</v>
      </c>
      <c r="AS95">
        <v>4</v>
      </c>
      <c r="AT95">
        <v>11</v>
      </c>
      <c r="AU95">
        <v>0</v>
      </c>
      <c r="AV95">
        <v>1</v>
      </c>
      <c r="AW95">
        <v>12</v>
      </c>
      <c r="AX95">
        <v>15</v>
      </c>
      <c r="AY95">
        <v>13</v>
      </c>
      <c r="AZ95">
        <v>14</v>
      </c>
      <c r="BA95">
        <v>0</v>
      </c>
      <c r="BB95">
        <v>5</v>
      </c>
      <c r="BC95">
        <v>3</v>
      </c>
      <c r="BD95">
        <v>4</v>
      </c>
    </row>
    <row r="96" spans="1:56">
      <c r="A96" t="s">
        <v>54</v>
      </c>
    </row>
    <row r="97" spans="1:72">
      <c r="A97" t="s">
        <v>55</v>
      </c>
      <c r="B97" t="s">
        <v>56</v>
      </c>
      <c r="C97" t="s">
        <v>57</v>
      </c>
      <c r="D97" t="s">
        <v>85</v>
      </c>
      <c r="E97" t="s">
        <v>59</v>
      </c>
      <c r="F97" t="s">
        <v>60</v>
      </c>
    </row>
    <row r="98" spans="1:72">
      <c r="A98">
        <v>0</v>
      </c>
      <c r="B98">
        <v>4</v>
      </c>
      <c r="C98">
        <v>63</v>
      </c>
      <c r="D98">
        <v>-18</v>
      </c>
      <c r="E98">
        <v>0</v>
      </c>
      <c r="F98">
        <v>37</v>
      </c>
      <c r="G98">
        <v>-37</v>
      </c>
      <c r="H98">
        <v>0</v>
      </c>
      <c r="I98">
        <v>-37</v>
      </c>
      <c r="J98">
        <v>0</v>
      </c>
      <c r="K98">
        <v>13</v>
      </c>
      <c r="L98">
        <v>-37</v>
      </c>
      <c r="M98">
        <v>0</v>
      </c>
      <c r="N98">
        <v>-13</v>
      </c>
      <c r="O98">
        <v>-37</v>
      </c>
      <c r="P98">
        <v>18</v>
      </c>
      <c r="Q98">
        <v>0</v>
      </c>
      <c r="R98">
        <v>37</v>
      </c>
      <c r="S98">
        <v>37</v>
      </c>
      <c r="T98">
        <v>0</v>
      </c>
      <c r="U98">
        <v>-37</v>
      </c>
      <c r="V98">
        <v>-33</v>
      </c>
      <c r="W98">
        <v>0</v>
      </c>
      <c r="X98">
        <v>52</v>
      </c>
      <c r="Y98">
        <v>-56</v>
      </c>
      <c r="Z98">
        <v>0</v>
      </c>
      <c r="AA98">
        <v>-18</v>
      </c>
      <c r="AB98">
        <v>33</v>
      </c>
      <c r="AC98">
        <v>0</v>
      </c>
      <c r="AD98">
        <v>52</v>
      </c>
      <c r="AE98">
        <v>56</v>
      </c>
      <c r="AF98">
        <v>0</v>
      </c>
      <c r="AG98">
        <v>-18</v>
      </c>
      <c r="AH98">
        <v>0</v>
      </c>
      <c r="AI98">
        <v>6</v>
      </c>
      <c r="AJ98">
        <v>32</v>
      </c>
      <c r="AK98">
        <v>0</v>
      </c>
      <c r="AL98">
        <v>7</v>
      </c>
      <c r="AM98">
        <v>23</v>
      </c>
      <c r="AN98">
        <v>-11</v>
      </c>
      <c r="AO98">
        <v>1</v>
      </c>
      <c r="AP98">
        <v>42</v>
      </c>
      <c r="AQ98">
        <v>11</v>
      </c>
      <c r="AR98">
        <v>1</v>
      </c>
      <c r="AS98">
        <v>42</v>
      </c>
      <c r="AT98">
        <v>-9</v>
      </c>
      <c r="AU98">
        <v>5</v>
      </c>
      <c r="AV98">
        <v>-37</v>
      </c>
      <c r="AW98">
        <v>-9</v>
      </c>
      <c r="AX98">
        <v>-5</v>
      </c>
      <c r="AY98">
        <v>-37</v>
      </c>
      <c r="AZ98">
        <v>9</v>
      </c>
      <c r="BA98">
        <v>-5</v>
      </c>
      <c r="BB98">
        <v>-37</v>
      </c>
      <c r="BC98">
        <v>9</v>
      </c>
      <c r="BD98">
        <v>5</v>
      </c>
      <c r="BE98">
        <v>-37</v>
      </c>
      <c r="BF98">
        <v>0</v>
      </c>
      <c r="BG98">
        <v>0</v>
      </c>
      <c r="BH98">
        <v>-37</v>
      </c>
    </row>
    <row r="99" spans="1:72">
      <c r="A99" t="s">
        <v>54</v>
      </c>
    </row>
    <row r="100" spans="1:72">
      <c r="A100" t="s">
        <v>55</v>
      </c>
      <c r="B100" t="s">
        <v>56</v>
      </c>
      <c r="C100" t="s">
        <v>61</v>
      </c>
      <c r="D100" t="s">
        <v>86</v>
      </c>
      <c r="E100" t="s">
        <v>59</v>
      </c>
      <c r="F100" t="s">
        <v>60</v>
      </c>
    </row>
    <row r="101" spans="1:72">
      <c r="A101">
        <v>5</v>
      </c>
      <c r="B101">
        <v>9</v>
      </c>
      <c r="C101">
        <v>5</v>
      </c>
      <c r="D101">
        <v>6</v>
      </c>
      <c r="E101">
        <v>2</v>
      </c>
      <c r="F101">
        <v>8</v>
      </c>
      <c r="G101">
        <v>18</v>
      </c>
      <c r="H101">
        <v>19</v>
      </c>
      <c r="I101">
        <v>11</v>
      </c>
      <c r="J101">
        <v>14</v>
      </c>
      <c r="K101">
        <v>15</v>
      </c>
      <c r="L101">
        <v>19</v>
      </c>
      <c r="M101">
        <v>0</v>
      </c>
      <c r="N101">
        <v>3</v>
      </c>
      <c r="O101">
        <v>1</v>
      </c>
      <c r="P101">
        <v>2</v>
      </c>
      <c r="Q101">
        <v>12</v>
      </c>
      <c r="R101">
        <v>13</v>
      </c>
      <c r="S101">
        <v>6</v>
      </c>
      <c r="T101">
        <v>10</v>
      </c>
      <c r="U101">
        <v>3</v>
      </c>
      <c r="V101">
        <v>6</v>
      </c>
      <c r="W101">
        <v>11</v>
      </c>
      <c r="X101">
        <v>13</v>
      </c>
      <c r="Y101">
        <v>17</v>
      </c>
      <c r="Z101">
        <v>18</v>
      </c>
      <c r="AA101">
        <v>17</v>
      </c>
      <c r="AB101">
        <v>19</v>
      </c>
      <c r="AC101">
        <v>12</v>
      </c>
      <c r="AD101">
        <v>14</v>
      </c>
      <c r="AE101">
        <v>4</v>
      </c>
      <c r="AF101">
        <v>5</v>
      </c>
      <c r="AG101">
        <v>1</v>
      </c>
      <c r="AH101">
        <v>4</v>
      </c>
      <c r="AI101">
        <v>9</v>
      </c>
      <c r="AJ101">
        <v>10</v>
      </c>
      <c r="AK101">
        <v>2</v>
      </c>
      <c r="AL101">
        <v>3</v>
      </c>
      <c r="AM101">
        <v>16</v>
      </c>
      <c r="AN101">
        <v>19</v>
      </c>
      <c r="AO101">
        <v>11</v>
      </c>
      <c r="AP101">
        <v>12</v>
      </c>
      <c r="AQ101">
        <v>0</v>
      </c>
      <c r="AR101">
        <v>1</v>
      </c>
      <c r="AS101">
        <v>4</v>
      </c>
      <c r="AT101">
        <v>6</v>
      </c>
      <c r="AU101">
        <v>7</v>
      </c>
      <c r="AV101">
        <v>8</v>
      </c>
      <c r="AW101">
        <v>1</v>
      </c>
      <c r="AX101">
        <v>7</v>
      </c>
      <c r="AY101">
        <v>0</v>
      </c>
      <c r="AZ101">
        <v>5</v>
      </c>
      <c r="BA101">
        <v>15</v>
      </c>
      <c r="BB101">
        <v>16</v>
      </c>
      <c r="BC101">
        <v>2</v>
      </c>
      <c r="BD101">
        <v>4</v>
      </c>
    </row>
    <row r="102" spans="1:72">
      <c r="A102" t="s">
        <v>54</v>
      </c>
    </row>
    <row r="103" spans="1:72">
      <c r="A103" t="s">
        <v>55</v>
      </c>
      <c r="B103" t="s">
        <v>56</v>
      </c>
      <c r="C103" t="s">
        <v>57</v>
      </c>
      <c r="D103" t="s">
        <v>87</v>
      </c>
      <c r="E103" t="s">
        <v>59</v>
      </c>
      <c r="F103" t="s">
        <v>60</v>
      </c>
    </row>
    <row r="104" spans="1:72">
      <c r="A104">
        <v>0</v>
      </c>
      <c r="B104">
        <v>38</v>
      </c>
      <c r="C104">
        <v>50</v>
      </c>
      <c r="D104">
        <v>37</v>
      </c>
      <c r="E104">
        <v>11</v>
      </c>
      <c r="F104">
        <v>50</v>
      </c>
      <c r="G104">
        <v>22</v>
      </c>
      <c r="H104">
        <v>-31</v>
      </c>
      <c r="I104">
        <v>50</v>
      </c>
      <c r="J104">
        <v>-22</v>
      </c>
      <c r="K104">
        <v>-31</v>
      </c>
      <c r="L104">
        <v>50</v>
      </c>
      <c r="M104">
        <v>-37</v>
      </c>
      <c r="N104">
        <v>11</v>
      </c>
      <c r="O104">
        <v>50</v>
      </c>
      <c r="P104">
        <v>0</v>
      </c>
      <c r="Q104">
        <v>63</v>
      </c>
      <c r="R104">
        <v>11</v>
      </c>
      <c r="S104">
        <v>59</v>
      </c>
      <c r="T104">
        <v>19</v>
      </c>
      <c r="U104">
        <v>11</v>
      </c>
      <c r="V104">
        <v>37</v>
      </c>
      <c r="W104">
        <v>-50</v>
      </c>
      <c r="X104">
        <v>11</v>
      </c>
      <c r="Y104">
        <v>-37</v>
      </c>
      <c r="Z104">
        <v>-50</v>
      </c>
      <c r="AA104">
        <v>11</v>
      </c>
      <c r="AB104">
        <v>-59</v>
      </c>
      <c r="AC104">
        <v>19</v>
      </c>
      <c r="AD104">
        <v>11</v>
      </c>
      <c r="AE104">
        <v>37</v>
      </c>
      <c r="AF104">
        <v>50</v>
      </c>
      <c r="AG104">
        <v>-11</v>
      </c>
      <c r="AH104">
        <v>59</v>
      </c>
      <c r="AI104">
        <v>-19</v>
      </c>
      <c r="AJ104">
        <v>-11</v>
      </c>
      <c r="AK104">
        <v>0</v>
      </c>
      <c r="AL104">
        <v>-63</v>
      </c>
      <c r="AM104">
        <v>-11</v>
      </c>
      <c r="AN104">
        <v>-59</v>
      </c>
      <c r="AO104">
        <v>-19</v>
      </c>
      <c r="AP104">
        <v>-11</v>
      </c>
      <c r="AQ104">
        <v>-37</v>
      </c>
      <c r="AR104">
        <v>50</v>
      </c>
      <c r="AS104">
        <v>-11</v>
      </c>
      <c r="AT104">
        <v>22</v>
      </c>
      <c r="AU104">
        <v>31</v>
      </c>
      <c r="AV104">
        <v>-50</v>
      </c>
      <c r="AW104">
        <v>37</v>
      </c>
      <c r="AX104">
        <v>-11</v>
      </c>
      <c r="AY104">
        <v>-50</v>
      </c>
      <c r="AZ104">
        <v>0</v>
      </c>
      <c r="BA104">
        <v>-38</v>
      </c>
      <c r="BB104">
        <v>-50</v>
      </c>
      <c r="BC104">
        <v>-37</v>
      </c>
      <c r="BD104">
        <v>-11</v>
      </c>
      <c r="BE104">
        <v>-50</v>
      </c>
      <c r="BF104">
        <v>-22</v>
      </c>
      <c r="BG104">
        <v>31</v>
      </c>
      <c r="BH104">
        <v>-50</v>
      </c>
      <c r="BI104">
        <v>-4</v>
      </c>
      <c r="BJ104">
        <v>8</v>
      </c>
      <c r="BK104">
        <v>50</v>
      </c>
      <c r="BL104">
        <v>-4</v>
      </c>
      <c r="BM104">
        <v>-8</v>
      </c>
      <c r="BN104">
        <v>50</v>
      </c>
      <c r="BO104">
        <v>4</v>
      </c>
      <c r="BP104">
        <v>8</v>
      </c>
      <c r="BQ104">
        <v>50</v>
      </c>
      <c r="BR104">
        <v>4</v>
      </c>
      <c r="BS104">
        <v>-8</v>
      </c>
      <c r="BT104">
        <v>50</v>
      </c>
    </row>
    <row r="105" spans="1:72">
      <c r="A105" t="s">
        <v>54</v>
      </c>
    </row>
    <row r="106" spans="1:72">
      <c r="A106" t="s">
        <v>55</v>
      </c>
      <c r="B106" t="s">
        <v>56</v>
      </c>
      <c r="C106" t="s">
        <v>61</v>
      </c>
      <c r="D106" t="s">
        <v>88</v>
      </c>
      <c r="E106" t="s">
        <v>59</v>
      </c>
      <c r="F106" t="s">
        <v>60</v>
      </c>
    </row>
    <row r="107" spans="1:72">
      <c r="A107">
        <v>11</v>
      </c>
      <c r="B107">
        <v>16</v>
      </c>
      <c r="C107">
        <v>8</v>
      </c>
      <c r="D107">
        <v>13</v>
      </c>
      <c r="E107">
        <v>7</v>
      </c>
      <c r="F107">
        <v>12</v>
      </c>
      <c r="G107">
        <v>10</v>
      </c>
      <c r="H107">
        <v>15</v>
      </c>
      <c r="I107">
        <v>1</v>
      </c>
      <c r="J107">
        <v>6</v>
      </c>
      <c r="K107">
        <v>7</v>
      </c>
      <c r="L107">
        <v>11</v>
      </c>
      <c r="M107">
        <v>15</v>
      </c>
      <c r="N107">
        <v>19</v>
      </c>
      <c r="O107">
        <v>18</v>
      </c>
      <c r="P107">
        <v>19</v>
      </c>
      <c r="Q107">
        <v>1</v>
      </c>
      <c r="R107">
        <v>2</v>
      </c>
      <c r="S107">
        <v>5</v>
      </c>
      <c r="T107">
        <v>14</v>
      </c>
      <c r="U107">
        <v>4</v>
      </c>
      <c r="V107">
        <v>9</v>
      </c>
      <c r="W107">
        <v>20</v>
      </c>
      <c r="X107">
        <v>21</v>
      </c>
      <c r="Y107">
        <v>6</v>
      </c>
      <c r="Z107">
        <v>10</v>
      </c>
      <c r="AA107">
        <v>14</v>
      </c>
      <c r="AB107">
        <v>19</v>
      </c>
      <c r="AC107">
        <v>12</v>
      </c>
      <c r="AD107">
        <v>17</v>
      </c>
      <c r="AE107">
        <v>0</v>
      </c>
      <c r="AF107">
        <v>4</v>
      </c>
      <c r="AG107">
        <v>2</v>
      </c>
      <c r="AH107">
        <v>7</v>
      </c>
      <c r="AI107">
        <v>9</v>
      </c>
      <c r="AJ107">
        <v>14</v>
      </c>
      <c r="AK107">
        <v>20</v>
      </c>
      <c r="AL107">
        <v>22</v>
      </c>
      <c r="AM107">
        <v>6</v>
      </c>
      <c r="AN107">
        <v>11</v>
      </c>
      <c r="AO107">
        <v>21</v>
      </c>
      <c r="AP107">
        <v>23</v>
      </c>
      <c r="AQ107">
        <v>22</v>
      </c>
      <c r="AR107">
        <v>23</v>
      </c>
      <c r="AS107">
        <v>2</v>
      </c>
      <c r="AT107">
        <v>3</v>
      </c>
      <c r="AU107">
        <v>17</v>
      </c>
      <c r="AV107">
        <v>18</v>
      </c>
      <c r="AW107">
        <v>16</v>
      </c>
      <c r="AX107">
        <v>17</v>
      </c>
      <c r="AY107">
        <v>0</v>
      </c>
      <c r="AZ107">
        <v>1</v>
      </c>
      <c r="BA107">
        <v>9</v>
      </c>
      <c r="BB107">
        <v>13</v>
      </c>
      <c r="BC107">
        <v>5</v>
      </c>
      <c r="BD107">
        <v>10</v>
      </c>
      <c r="BE107">
        <v>8</v>
      </c>
      <c r="BF107">
        <v>12</v>
      </c>
      <c r="BG107">
        <v>15</v>
      </c>
      <c r="BH107">
        <v>16</v>
      </c>
      <c r="BI107">
        <v>3</v>
      </c>
      <c r="BJ107">
        <v>8</v>
      </c>
      <c r="BK107">
        <v>13</v>
      </c>
      <c r="BL107">
        <v>18</v>
      </c>
      <c r="BM107">
        <v>0</v>
      </c>
      <c r="BN107">
        <v>5</v>
      </c>
      <c r="BO107">
        <v>3</v>
      </c>
      <c r="BP107">
        <v>4</v>
      </c>
    </row>
    <row r="108" spans="1:72">
      <c r="A108" t="s">
        <v>54</v>
      </c>
    </row>
    <row r="109" spans="1:72">
      <c r="A109" t="s">
        <v>55</v>
      </c>
      <c r="B109" t="s">
        <v>56</v>
      </c>
      <c r="C109" t="s">
        <v>57</v>
      </c>
      <c r="D109" t="s">
        <v>89</v>
      </c>
      <c r="E109" t="s">
        <v>59</v>
      </c>
      <c r="F109" t="s">
        <v>60</v>
      </c>
    </row>
    <row r="110" spans="1:72">
      <c r="A110">
        <v>0</v>
      </c>
      <c r="B110">
        <v>-8</v>
      </c>
      <c r="C110">
        <v>63</v>
      </c>
      <c r="D110">
        <v>-23</v>
      </c>
      <c r="E110">
        <v>-8</v>
      </c>
      <c r="F110">
        <v>-2</v>
      </c>
      <c r="G110">
        <v>-7</v>
      </c>
      <c r="H110">
        <v>-8</v>
      </c>
      <c r="I110">
        <v>-30</v>
      </c>
      <c r="J110">
        <v>7</v>
      </c>
      <c r="K110">
        <v>-8</v>
      </c>
      <c r="L110">
        <v>-30</v>
      </c>
      <c r="M110">
        <v>23</v>
      </c>
      <c r="N110">
        <v>-8</v>
      </c>
      <c r="O110">
        <v>-2</v>
      </c>
      <c r="P110">
        <v>-23</v>
      </c>
      <c r="Q110">
        <v>8</v>
      </c>
      <c r="R110">
        <v>-2</v>
      </c>
      <c r="S110">
        <v>-7</v>
      </c>
      <c r="T110">
        <v>1</v>
      </c>
      <c r="U110">
        <v>-30</v>
      </c>
      <c r="V110">
        <v>7</v>
      </c>
      <c r="W110">
        <v>1</v>
      </c>
      <c r="X110">
        <v>-30</v>
      </c>
      <c r="Y110">
        <v>23</v>
      </c>
      <c r="Z110">
        <v>8</v>
      </c>
      <c r="AA110">
        <v>-2</v>
      </c>
      <c r="AB110">
        <v>0</v>
      </c>
      <c r="AC110">
        <v>10</v>
      </c>
      <c r="AD110">
        <v>-11</v>
      </c>
      <c r="AE110">
        <v>-1</v>
      </c>
      <c r="AF110">
        <v>-6</v>
      </c>
      <c r="AG110">
        <v>56</v>
      </c>
      <c r="AH110">
        <v>-15</v>
      </c>
      <c r="AI110">
        <v>4</v>
      </c>
      <c r="AJ110">
        <v>10</v>
      </c>
      <c r="AK110">
        <v>-9</v>
      </c>
      <c r="AL110">
        <v>8</v>
      </c>
      <c r="AM110">
        <v>-2</v>
      </c>
      <c r="AN110">
        <v>1</v>
      </c>
      <c r="AO110">
        <v>-6</v>
      </c>
      <c r="AP110">
        <v>56</v>
      </c>
      <c r="AQ110">
        <v>15</v>
      </c>
      <c r="AR110">
        <v>4</v>
      </c>
      <c r="AS110">
        <v>10</v>
      </c>
      <c r="AT110">
        <v>9</v>
      </c>
      <c r="AU110">
        <v>8</v>
      </c>
      <c r="AV110">
        <v>-2</v>
      </c>
      <c r="AW110">
        <v>0</v>
      </c>
      <c r="AX110">
        <v>-8</v>
      </c>
      <c r="AY110">
        <v>-11</v>
      </c>
      <c r="AZ110">
        <v>-8</v>
      </c>
      <c r="BA110">
        <v>-8</v>
      </c>
      <c r="BB110">
        <v>25</v>
      </c>
      <c r="BC110">
        <v>8</v>
      </c>
      <c r="BD110">
        <v>-8</v>
      </c>
      <c r="BE110">
        <v>25</v>
      </c>
    </row>
    <row r="111" spans="1:72">
      <c r="A111" t="s">
        <v>54</v>
      </c>
    </row>
    <row r="112" spans="1:72">
      <c r="A112" t="s">
        <v>55</v>
      </c>
      <c r="B112" t="s">
        <v>56</v>
      </c>
      <c r="C112" t="s">
        <v>61</v>
      </c>
      <c r="D112" t="s">
        <v>90</v>
      </c>
      <c r="E112" t="s">
        <v>59</v>
      </c>
      <c r="F112" t="s">
        <v>60</v>
      </c>
    </row>
    <row r="113" spans="1:75">
      <c r="A113">
        <v>5</v>
      </c>
      <c r="B113">
        <v>9</v>
      </c>
      <c r="C113">
        <v>6</v>
      </c>
      <c r="D113">
        <v>9</v>
      </c>
      <c r="E113">
        <v>10</v>
      </c>
      <c r="F113">
        <v>11</v>
      </c>
      <c r="G113">
        <v>4</v>
      </c>
      <c r="H113">
        <v>8</v>
      </c>
      <c r="I113">
        <v>5</v>
      </c>
      <c r="J113">
        <v>6</v>
      </c>
      <c r="K113">
        <v>8</v>
      </c>
      <c r="L113">
        <v>9</v>
      </c>
      <c r="M113">
        <v>3</v>
      </c>
      <c r="N113">
        <v>7</v>
      </c>
      <c r="O113">
        <v>1</v>
      </c>
      <c r="P113">
        <v>2</v>
      </c>
      <c r="Q113">
        <v>6</v>
      </c>
      <c r="R113">
        <v>7</v>
      </c>
      <c r="S113">
        <v>10</v>
      </c>
      <c r="T113">
        <v>12</v>
      </c>
      <c r="U113">
        <v>1</v>
      </c>
      <c r="V113">
        <v>5</v>
      </c>
      <c r="W113">
        <v>0</v>
      </c>
      <c r="X113">
        <v>4</v>
      </c>
      <c r="Y113">
        <v>7</v>
      </c>
      <c r="Z113">
        <v>9</v>
      </c>
      <c r="AA113">
        <v>16</v>
      </c>
      <c r="AB113">
        <v>18</v>
      </c>
      <c r="AC113">
        <v>17</v>
      </c>
      <c r="AD113">
        <v>18</v>
      </c>
      <c r="AE113">
        <v>2</v>
      </c>
      <c r="AF113">
        <v>6</v>
      </c>
      <c r="AG113">
        <v>13</v>
      </c>
      <c r="AH113">
        <v>15</v>
      </c>
      <c r="AI113">
        <v>14</v>
      </c>
      <c r="AJ113">
        <v>15</v>
      </c>
      <c r="AK113">
        <v>0</v>
      </c>
      <c r="AL113">
        <v>5</v>
      </c>
      <c r="AM113">
        <v>0</v>
      </c>
      <c r="AN113">
        <v>8</v>
      </c>
      <c r="AO113">
        <v>11</v>
      </c>
      <c r="AP113">
        <v>12</v>
      </c>
      <c r="AQ113">
        <v>16</v>
      </c>
      <c r="AR113">
        <v>17</v>
      </c>
      <c r="AS113">
        <v>0</v>
      </c>
      <c r="AT113">
        <v>1</v>
      </c>
      <c r="AU113">
        <v>13</v>
      </c>
      <c r="AV113">
        <v>14</v>
      </c>
      <c r="AW113">
        <v>7</v>
      </c>
      <c r="AX113">
        <v>8</v>
      </c>
      <c r="AY113">
        <v>2</v>
      </c>
      <c r="AZ113">
        <v>3</v>
      </c>
      <c r="BA113">
        <v>3</v>
      </c>
      <c r="BB113">
        <v>4</v>
      </c>
    </row>
    <row r="114" spans="1:75">
      <c r="A114" t="s">
        <v>54</v>
      </c>
    </row>
    <row r="115" spans="1:75">
      <c r="A115" t="s">
        <v>55</v>
      </c>
      <c r="B115" t="s">
        <v>56</v>
      </c>
      <c r="C115" t="s">
        <v>57</v>
      </c>
      <c r="D115" t="s">
        <v>91</v>
      </c>
      <c r="E115" t="s">
        <v>59</v>
      </c>
      <c r="F115" t="s">
        <v>60</v>
      </c>
    </row>
    <row r="116" spans="1:75">
      <c r="A116">
        <v>-9</v>
      </c>
      <c r="B116">
        <v>-3</v>
      </c>
      <c r="C116">
        <v>44</v>
      </c>
      <c r="D116">
        <v>9</v>
      </c>
      <c r="E116">
        <v>-3</v>
      </c>
      <c r="F116">
        <v>44</v>
      </c>
      <c r="G116">
        <v>-15</v>
      </c>
      <c r="H116">
        <v>7</v>
      </c>
      <c r="I116">
        <v>-21</v>
      </c>
      <c r="J116">
        <v>15</v>
      </c>
      <c r="K116">
        <v>7</v>
      </c>
      <c r="L116">
        <v>-21</v>
      </c>
      <c r="M116">
        <v>-63</v>
      </c>
      <c r="N116">
        <v>0</v>
      </c>
      <c r="O116">
        <v>-2</v>
      </c>
      <c r="P116">
        <v>63</v>
      </c>
      <c r="Q116">
        <v>0</v>
      </c>
      <c r="R116">
        <v>-2</v>
      </c>
      <c r="S116">
        <v>-19</v>
      </c>
      <c r="T116">
        <v>-13</v>
      </c>
      <c r="U116">
        <v>-21</v>
      </c>
      <c r="V116">
        <v>19</v>
      </c>
      <c r="W116">
        <v>-13</v>
      </c>
      <c r="X116">
        <v>-21</v>
      </c>
      <c r="Y116">
        <v>-7</v>
      </c>
      <c r="Z116">
        <v>-5</v>
      </c>
      <c r="AA116">
        <v>31</v>
      </c>
      <c r="AB116">
        <v>7</v>
      </c>
      <c r="AC116">
        <v>-5</v>
      </c>
      <c r="AD116">
        <v>31</v>
      </c>
      <c r="AE116">
        <v>-7</v>
      </c>
      <c r="AF116">
        <v>-12</v>
      </c>
      <c r="AG116">
        <v>-15</v>
      </c>
      <c r="AH116">
        <v>7</v>
      </c>
      <c r="AI116">
        <v>-12</v>
      </c>
      <c r="AJ116">
        <v>-15</v>
      </c>
    </row>
    <row r="117" spans="1:75">
      <c r="A117" t="s">
        <v>54</v>
      </c>
    </row>
    <row r="118" spans="1:75">
      <c r="A118" t="s">
        <v>55</v>
      </c>
      <c r="B118" t="s">
        <v>56</v>
      </c>
      <c r="C118" t="s">
        <v>61</v>
      </c>
      <c r="D118" t="s">
        <v>92</v>
      </c>
      <c r="E118" t="s">
        <v>59</v>
      </c>
      <c r="F118" t="s">
        <v>60</v>
      </c>
    </row>
    <row r="119" spans="1:75">
      <c r="A119">
        <v>0</v>
      </c>
      <c r="B119">
        <v>1</v>
      </c>
      <c r="C119">
        <v>1</v>
      </c>
      <c r="D119">
        <v>3</v>
      </c>
      <c r="E119">
        <v>6</v>
      </c>
      <c r="F119">
        <v>7</v>
      </c>
      <c r="G119">
        <v>4</v>
      </c>
      <c r="H119">
        <v>6</v>
      </c>
      <c r="I119">
        <v>0</v>
      </c>
      <c r="J119">
        <v>6</v>
      </c>
      <c r="K119">
        <v>5</v>
      </c>
      <c r="L119">
        <v>7</v>
      </c>
      <c r="M119">
        <v>2</v>
      </c>
      <c r="N119">
        <v>4</v>
      </c>
      <c r="O119">
        <v>3</v>
      </c>
      <c r="P119">
        <v>7</v>
      </c>
      <c r="Q119">
        <v>1</v>
      </c>
      <c r="R119">
        <v>5</v>
      </c>
      <c r="S119">
        <v>2</v>
      </c>
      <c r="T119">
        <v>6</v>
      </c>
      <c r="U119">
        <v>2</v>
      </c>
      <c r="V119">
        <v>3</v>
      </c>
      <c r="W119">
        <v>1</v>
      </c>
      <c r="X119">
        <v>7</v>
      </c>
      <c r="Y119">
        <v>0</v>
      </c>
      <c r="Z119">
        <v>4</v>
      </c>
      <c r="AA119">
        <v>0</v>
      </c>
      <c r="AB119">
        <v>2</v>
      </c>
      <c r="AC119">
        <v>3</v>
      </c>
      <c r="AD119">
        <v>5</v>
      </c>
    </row>
    <row r="120" spans="1:75">
      <c r="A120" t="s">
        <v>54</v>
      </c>
    </row>
    <row r="121" spans="1:75">
      <c r="A121" t="s">
        <v>55</v>
      </c>
      <c r="B121" t="s">
        <v>56</v>
      </c>
      <c r="C121" t="s">
        <v>57</v>
      </c>
      <c r="D121" t="s">
        <v>93</v>
      </c>
      <c r="E121" t="s">
        <v>59</v>
      </c>
      <c r="F121" t="s">
        <v>60</v>
      </c>
    </row>
    <row r="122" spans="1:75">
      <c r="A122">
        <v>0</v>
      </c>
      <c r="B122">
        <v>0</v>
      </c>
      <c r="C122">
        <v>63</v>
      </c>
      <c r="D122">
        <v>0</v>
      </c>
      <c r="E122">
        <v>11</v>
      </c>
      <c r="F122">
        <v>-31</v>
      </c>
      <c r="G122">
        <v>0</v>
      </c>
      <c r="H122">
        <v>-11</v>
      </c>
      <c r="I122">
        <v>-31</v>
      </c>
      <c r="J122">
        <v>59</v>
      </c>
      <c r="K122">
        <v>0</v>
      </c>
      <c r="L122">
        <v>-1</v>
      </c>
      <c r="M122">
        <v>-59</v>
      </c>
      <c r="N122">
        <v>0</v>
      </c>
      <c r="O122">
        <v>-1</v>
      </c>
      <c r="P122">
        <v>59</v>
      </c>
      <c r="Q122">
        <v>0</v>
      </c>
      <c r="R122">
        <v>57</v>
      </c>
      <c r="S122">
        <v>-59</v>
      </c>
      <c r="T122">
        <v>0</v>
      </c>
      <c r="U122">
        <v>57</v>
      </c>
      <c r="V122">
        <v>0</v>
      </c>
      <c r="W122">
        <v>3</v>
      </c>
      <c r="X122">
        <v>34</v>
      </c>
      <c r="Y122">
        <v>0</v>
      </c>
      <c r="Z122">
        <v>4</v>
      </c>
      <c r="AA122">
        <v>24</v>
      </c>
      <c r="AB122">
        <v>-11</v>
      </c>
      <c r="AC122">
        <v>4</v>
      </c>
      <c r="AD122">
        <v>12</v>
      </c>
      <c r="AE122">
        <v>11</v>
      </c>
      <c r="AF122">
        <v>4</v>
      </c>
      <c r="AG122">
        <v>12</v>
      </c>
      <c r="AH122">
        <v>11</v>
      </c>
      <c r="AI122">
        <v>7</v>
      </c>
      <c r="AJ122">
        <v>-25</v>
      </c>
      <c r="AK122">
        <v>11</v>
      </c>
      <c r="AL122">
        <v>-7</v>
      </c>
      <c r="AM122">
        <v>-25</v>
      </c>
      <c r="AN122">
        <v>23</v>
      </c>
      <c r="AO122">
        <v>0</v>
      </c>
      <c r="AP122">
        <v>-19</v>
      </c>
      <c r="AQ122">
        <v>-11</v>
      </c>
      <c r="AR122">
        <v>7</v>
      </c>
      <c r="AS122">
        <v>-25</v>
      </c>
      <c r="AT122">
        <v>-11</v>
      </c>
      <c r="AU122">
        <v>-7</v>
      </c>
      <c r="AV122">
        <v>-25</v>
      </c>
      <c r="AW122">
        <v>-23</v>
      </c>
      <c r="AX122">
        <v>0</v>
      </c>
      <c r="AY122">
        <v>-19</v>
      </c>
    </row>
    <row r="123" spans="1:75">
      <c r="A123" t="s">
        <v>54</v>
      </c>
    </row>
    <row r="124" spans="1:75">
      <c r="A124" t="s">
        <v>55</v>
      </c>
      <c r="B124" t="s">
        <v>56</v>
      </c>
      <c r="C124" t="s">
        <v>61</v>
      </c>
      <c r="D124" t="s">
        <v>94</v>
      </c>
      <c r="E124" t="s">
        <v>59</v>
      </c>
      <c r="F124" t="s">
        <v>60</v>
      </c>
    </row>
    <row r="125" spans="1:75">
      <c r="A125">
        <v>0</v>
      </c>
      <c r="B125">
        <v>1</v>
      </c>
      <c r="C125">
        <v>1</v>
      </c>
      <c r="D125">
        <v>2</v>
      </c>
      <c r="E125">
        <v>1</v>
      </c>
      <c r="F125">
        <v>3</v>
      </c>
      <c r="G125">
        <v>14</v>
      </c>
      <c r="H125">
        <v>16</v>
      </c>
      <c r="I125">
        <v>12</v>
      </c>
      <c r="J125">
        <v>13</v>
      </c>
      <c r="K125">
        <v>15</v>
      </c>
      <c r="L125">
        <v>16</v>
      </c>
      <c r="M125">
        <v>8</v>
      </c>
      <c r="N125">
        <v>10</v>
      </c>
      <c r="O125">
        <v>1</v>
      </c>
      <c r="P125">
        <v>4</v>
      </c>
      <c r="Q125">
        <v>2</v>
      </c>
      <c r="R125">
        <v>4</v>
      </c>
      <c r="S125">
        <v>8</v>
      </c>
      <c r="T125">
        <v>9</v>
      </c>
      <c r="U125">
        <v>2</v>
      </c>
      <c r="V125">
        <v>3</v>
      </c>
      <c r="W125">
        <v>7</v>
      </c>
      <c r="X125">
        <v>10</v>
      </c>
      <c r="Y125">
        <v>0</v>
      </c>
      <c r="Z125">
        <v>4</v>
      </c>
      <c r="AA125">
        <v>14</v>
      </c>
      <c r="AB125">
        <v>15</v>
      </c>
      <c r="AC125">
        <v>0</v>
      </c>
      <c r="AD125">
        <v>3</v>
      </c>
      <c r="AE125">
        <v>7</v>
      </c>
      <c r="AF125">
        <v>9</v>
      </c>
      <c r="AG125">
        <v>11</v>
      </c>
      <c r="AH125">
        <v>12</v>
      </c>
      <c r="AI125">
        <v>0</v>
      </c>
      <c r="AJ125">
        <v>2</v>
      </c>
      <c r="AK125">
        <v>7</v>
      </c>
      <c r="AL125">
        <v>8</v>
      </c>
      <c r="AM125">
        <v>11</v>
      </c>
      <c r="AN125">
        <v>13</v>
      </c>
    </row>
    <row r="126" spans="1:75">
      <c r="A126" t="s">
        <v>54</v>
      </c>
    </row>
    <row r="127" spans="1:75">
      <c r="A127" t="s">
        <v>55</v>
      </c>
      <c r="B127" t="s">
        <v>56</v>
      </c>
      <c r="C127" t="s">
        <v>57</v>
      </c>
      <c r="D127" t="s">
        <v>95</v>
      </c>
      <c r="E127" t="s">
        <v>59</v>
      </c>
      <c r="F127" t="s">
        <v>60</v>
      </c>
    </row>
    <row r="128" spans="1:75">
      <c r="A128">
        <v>0</v>
      </c>
      <c r="B128">
        <v>0</v>
      </c>
      <c r="C128">
        <v>63</v>
      </c>
      <c r="D128">
        <v>-63</v>
      </c>
      <c r="E128">
        <v>-7</v>
      </c>
      <c r="F128">
        <v>-31</v>
      </c>
      <c r="G128">
        <v>-31</v>
      </c>
      <c r="H128">
        <v>7</v>
      </c>
      <c r="I128">
        <v>-31</v>
      </c>
      <c r="J128">
        <v>31</v>
      </c>
      <c r="K128">
        <v>7</v>
      </c>
      <c r="L128">
        <v>-31</v>
      </c>
      <c r="M128">
        <v>63</v>
      </c>
      <c r="N128">
        <v>-7</v>
      </c>
      <c r="O128">
        <v>-31</v>
      </c>
      <c r="P128">
        <v>-3</v>
      </c>
      <c r="Q128">
        <v>3</v>
      </c>
      <c r="R128">
        <v>15</v>
      </c>
      <c r="S128">
        <v>3</v>
      </c>
      <c r="T128">
        <v>3</v>
      </c>
      <c r="U128">
        <v>15</v>
      </c>
      <c r="V128">
        <v>7</v>
      </c>
      <c r="W128">
        <v>2</v>
      </c>
      <c r="X128">
        <v>27</v>
      </c>
      <c r="Y128">
        <v>-7</v>
      </c>
      <c r="Z128">
        <v>2</v>
      </c>
      <c r="AA128">
        <v>27</v>
      </c>
      <c r="AB128">
        <v>-19</v>
      </c>
      <c r="AC128">
        <v>-3</v>
      </c>
      <c r="AD128">
        <v>15</v>
      </c>
      <c r="AE128">
        <v>19</v>
      </c>
      <c r="AF128">
        <v>-3</v>
      </c>
      <c r="AG128">
        <v>15</v>
      </c>
      <c r="AH128">
        <v>-23</v>
      </c>
      <c r="AI128">
        <v>-6</v>
      </c>
      <c r="AJ128">
        <v>-19</v>
      </c>
      <c r="AK128">
        <v>-15</v>
      </c>
      <c r="AL128">
        <v>-6</v>
      </c>
      <c r="AM128">
        <v>-19</v>
      </c>
      <c r="AN128">
        <v>15</v>
      </c>
      <c r="AO128">
        <v>-6</v>
      </c>
      <c r="AP128">
        <v>-19</v>
      </c>
      <c r="AQ128">
        <v>23</v>
      </c>
      <c r="AR128">
        <v>-6</v>
      </c>
      <c r="AS128">
        <v>-19</v>
      </c>
      <c r="AT128">
        <v>-7</v>
      </c>
      <c r="AU128">
        <v>3</v>
      </c>
      <c r="AV128">
        <v>-31</v>
      </c>
      <c r="AW128">
        <v>7</v>
      </c>
      <c r="AX128">
        <v>3</v>
      </c>
      <c r="AY128">
        <v>-31</v>
      </c>
      <c r="AZ128">
        <v>7</v>
      </c>
      <c r="BA128">
        <v>-3</v>
      </c>
      <c r="BB128">
        <v>-31</v>
      </c>
      <c r="BC128">
        <v>-7</v>
      </c>
      <c r="BD128">
        <v>-3</v>
      </c>
      <c r="BE128">
        <v>-31</v>
      </c>
      <c r="BF128">
        <v>-31</v>
      </c>
      <c r="BG128">
        <v>3</v>
      </c>
      <c r="BH128">
        <v>-31</v>
      </c>
      <c r="BI128">
        <v>31</v>
      </c>
      <c r="BJ128">
        <v>3</v>
      </c>
      <c r="BK128">
        <v>-31</v>
      </c>
      <c r="BL128">
        <v>35</v>
      </c>
      <c r="BM128">
        <v>-3</v>
      </c>
      <c r="BN128">
        <v>-31</v>
      </c>
      <c r="BO128">
        <v>-35</v>
      </c>
      <c r="BP128">
        <v>-3</v>
      </c>
      <c r="BQ128">
        <v>-31</v>
      </c>
      <c r="BR128">
        <v>-37</v>
      </c>
      <c r="BS128">
        <v>0</v>
      </c>
      <c r="BT128">
        <v>-31</v>
      </c>
      <c r="BU128">
        <v>37</v>
      </c>
      <c r="BV128">
        <v>0</v>
      </c>
      <c r="BW128">
        <v>-31</v>
      </c>
    </row>
    <row r="129" spans="1:56">
      <c r="A129" t="s">
        <v>54</v>
      </c>
    </row>
    <row r="130" spans="1:56">
      <c r="A130" t="s">
        <v>55</v>
      </c>
      <c r="B130" t="s">
        <v>56</v>
      </c>
      <c r="C130" t="s">
        <v>61</v>
      </c>
      <c r="D130" t="s">
        <v>96</v>
      </c>
      <c r="E130" t="s">
        <v>59</v>
      </c>
      <c r="F130" t="s">
        <v>60</v>
      </c>
    </row>
    <row r="131" spans="1:56">
      <c r="A131">
        <v>22</v>
      </c>
      <c r="B131">
        <v>23</v>
      </c>
      <c r="C131">
        <v>5</v>
      </c>
      <c r="D131">
        <v>6</v>
      </c>
      <c r="E131">
        <v>19</v>
      </c>
      <c r="F131">
        <v>22</v>
      </c>
      <c r="G131">
        <v>0</v>
      </c>
      <c r="H131">
        <v>3</v>
      </c>
      <c r="I131">
        <v>5</v>
      </c>
      <c r="J131">
        <v>8</v>
      </c>
      <c r="K131">
        <v>1</v>
      </c>
      <c r="L131">
        <v>2</v>
      </c>
      <c r="M131">
        <v>6</v>
      </c>
      <c r="N131">
        <v>7</v>
      </c>
      <c r="O131">
        <v>20</v>
      </c>
      <c r="P131">
        <v>21</v>
      </c>
      <c r="Q131">
        <v>9</v>
      </c>
      <c r="R131">
        <v>11</v>
      </c>
      <c r="S131">
        <v>15</v>
      </c>
      <c r="T131">
        <v>18</v>
      </c>
      <c r="U131">
        <v>0</v>
      </c>
      <c r="V131">
        <v>4</v>
      </c>
      <c r="W131">
        <v>17</v>
      </c>
      <c r="X131">
        <v>18</v>
      </c>
      <c r="Y131">
        <v>10</v>
      </c>
      <c r="Z131">
        <v>13</v>
      </c>
      <c r="AA131">
        <v>1</v>
      </c>
      <c r="AB131">
        <v>4</v>
      </c>
      <c r="AC131">
        <v>2</v>
      </c>
      <c r="AD131">
        <v>3</v>
      </c>
      <c r="AE131">
        <v>3</v>
      </c>
      <c r="AF131">
        <v>4</v>
      </c>
      <c r="AG131">
        <v>11</v>
      </c>
      <c r="AH131">
        <v>12</v>
      </c>
      <c r="AI131">
        <v>16</v>
      </c>
      <c r="AJ131">
        <v>17</v>
      </c>
      <c r="AK131">
        <v>0</v>
      </c>
      <c r="AL131">
        <v>1</v>
      </c>
      <c r="AM131">
        <v>20</v>
      </c>
      <c r="AN131">
        <v>24</v>
      </c>
      <c r="AO131">
        <v>13</v>
      </c>
      <c r="AP131">
        <v>14</v>
      </c>
      <c r="AQ131">
        <v>15</v>
      </c>
      <c r="AR131">
        <v>16</v>
      </c>
      <c r="AS131">
        <v>10</v>
      </c>
      <c r="AT131">
        <v>14</v>
      </c>
      <c r="AU131">
        <v>21</v>
      </c>
      <c r="AV131">
        <v>24</v>
      </c>
      <c r="AW131">
        <v>19</v>
      </c>
      <c r="AX131">
        <v>23</v>
      </c>
      <c r="AY131">
        <v>7</v>
      </c>
      <c r="AZ131">
        <v>8</v>
      </c>
      <c r="BA131">
        <v>0</v>
      </c>
      <c r="BB131">
        <v>2</v>
      </c>
      <c r="BC131">
        <v>9</v>
      </c>
      <c r="BD131">
        <v>12</v>
      </c>
    </row>
    <row r="132" spans="1:56">
      <c r="A132" t="s">
        <v>54</v>
      </c>
    </row>
    <row r="133" spans="1:56">
      <c r="A133" t="s">
        <v>55</v>
      </c>
      <c r="B133" t="s">
        <v>56</v>
      </c>
      <c r="C133" t="s">
        <v>57</v>
      </c>
      <c r="D133" t="s">
        <v>97</v>
      </c>
      <c r="E133" t="s">
        <v>59</v>
      </c>
      <c r="F133" t="s">
        <v>60</v>
      </c>
    </row>
    <row r="134" spans="1:56">
      <c r="A134">
        <v>0</v>
      </c>
      <c r="B134">
        <v>0</v>
      </c>
      <c r="C134">
        <v>63</v>
      </c>
      <c r="D134">
        <v>7</v>
      </c>
      <c r="E134">
        <v>7</v>
      </c>
      <c r="F134">
        <v>33</v>
      </c>
      <c r="G134">
        <v>-7</v>
      </c>
      <c r="H134">
        <v>7</v>
      </c>
      <c r="I134">
        <v>33</v>
      </c>
      <c r="J134">
        <v>-7</v>
      </c>
      <c r="K134">
        <v>-7</v>
      </c>
      <c r="L134">
        <v>33</v>
      </c>
      <c r="M134">
        <v>7</v>
      </c>
      <c r="N134">
        <v>-7</v>
      </c>
      <c r="O134">
        <v>33</v>
      </c>
      <c r="P134">
        <v>7</v>
      </c>
      <c r="Q134">
        <v>7</v>
      </c>
      <c r="R134">
        <v>-40</v>
      </c>
      <c r="S134">
        <v>-7</v>
      </c>
      <c r="T134">
        <v>7</v>
      </c>
      <c r="U134">
        <v>-40</v>
      </c>
      <c r="V134">
        <v>-7</v>
      </c>
      <c r="W134">
        <v>-7</v>
      </c>
      <c r="X134">
        <v>-40</v>
      </c>
      <c r="Y134">
        <v>7</v>
      </c>
      <c r="Z134">
        <v>-7</v>
      </c>
      <c r="AA134">
        <v>-40</v>
      </c>
      <c r="AB134">
        <v>11</v>
      </c>
      <c r="AC134">
        <v>11</v>
      </c>
      <c r="AD134">
        <v>-40</v>
      </c>
      <c r="AE134">
        <v>-11</v>
      </c>
      <c r="AF134">
        <v>11</v>
      </c>
      <c r="AG134">
        <v>-40</v>
      </c>
      <c r="AH134">
        <v>-11</v>
      </c>
      <c r="AI134">
        <v>-11</v>
      </c>
      <c r="AJ134">
        <v>-40</v>
      </c>
      <c r="AK134">
        <v>11</v>
      </c>
      <c r="AL134">
        <v>-11</v>
      </c>
      <c r="AM134">
        <v>-40</v>
      </c>
      <c r="AN134">
        <v>7</v>
      </c>
      <c r="AO134">
        <v>7</v>
      </c>
      <c r="AP134">
        <v>-11</v>
      </c>
      <c r="AQ134">
        <v>-7</v>
      </c>
      <c r="AR134">
        <v>7</v>
      </c>
      <c r="AS134">
        <v>-11</v>
      </c>
      <c r="AT134">
        <v>-7</v>
      </c>
      <c r="AU134">
        <v>-7</v>
      </c>
      <c r="AV134">
        <v>-11</v>
      </c>
      <c r="AW134">
        <v>7</v>
      </c>
      <c r="AX134">
        <v>-7</v>
      </c>
      <c r="AY134">
        <v>-11</v>
      </c>
    </row>
    <row r="135" spans="1:56">
      <c r="A135" t="s">
        <v>54</v>
      </c>
    </row>
    <row r="136" spans="1:56">
      <c r="A136" t="s">
        <v>55</v>
      </c>
      <c r="B136" t="s">
        <v>56</v>
      </c>
      <c r="C136" t="s">
        <v>61</v>
      </c>
      <c r="D136" t="s">
        <v>98</v>
      </c>
      <c r="E136" t="s">
        <v>59</v>
      </c>
      <c r="F136" t="s">
        <v>60</v>
      </c>
    </row>
    <row r="137" spans="1:56">
      <c r="A137">
        <v>5</v>
      </c>
      <c r="B137">
        <v>9</v>
      </c>
      <c r="C137">
        <v>4</v>
      </c>
      <c r="D137">
        <v>8</v>
      </c>
      <c r="E137">
        <v>5</v>
      </c>
      <c r="F137">
        <v>6</v>
      </c>
      <c r="G137">
        <v>12</v>
      </c>
      <c r="H137">
        <v>16</v>
      </c>
      <c r="I137">
        <v>5</v>
      </c>
      <c r="J137">
        <v>13</v>
      </c>
      <c r="K137">
        <v>7</v>
      </c>
      <c r="L137">
        <v>11</v>
      </c>
      <c r="M137">
        <v>3</v>
      </c>
      <c r="N137">
        <v>7</v>
      </c>
      <c r="O137">
        <v>0</v>
      </c>
      <c r="P137">
        <v>3</v>
      </c>
      <c r="Q137">
        <v>5</v>
      </c>
      <c r="R137">
        <v>8</v>
      </c>
      <c r="S137">
        <v>6</v>
      </c>
      <c r="T137">
        <v>14</v>
      </c>
      <c r="U137">
        <v>1</v>
      </c>
      <c r="V137">
        <v>2</v>
      </c>
      <c r="W137">
        <v>6</v>
      </c>
      <c r="X137">
        <v>7</v>
      </c>
      <c r="Y137">
        <v>7</v>
      </c>
      <c r="Z137">
        <v>15</v>
      </c>
      <c r="AA137">
        <v>6</v>
      </c>
      <c r="AB137">
        <v>10</v>
      </c>
      <c r="AC137">
        <v>1</v>
      </c>
      <c r="AD137">
        <v>5</v>
      </c>
      <c r="AE137">
        <v>0</v>
      </c>
      <c r="AF137">
        <v>4</v>
      </c>
      <c r="AG137">
        <v>8</v>
      </c>
      <c r="AH137">
        <v>16</v>
      </c>
      <c r="AI137">
        <v>2</v>
      </c>
      <c r="AJ137">
        <v>6</v>
      </c>
      <c r="AK137">
        <v>1</v>
      </c>
      <c r="AL137">
        <v>4</v>
      </c>
      <c r="AM137">
        <v>2</v>
      </c>
      <c r="AN137">
        <v>3</v>
      </c>
      <c r="AO137">
        <v>0</v>
      </c>
      <c r="AP137">
        <v>1</v>
      </c>
      <c r="AQ137">
        <v>9</v>
      </c>
      <c r="AR137">
        <v>13</v>
      </c>
      <c r="AS137">
        <v>8</v>
      </c>
      <c r="AT137">
        <v>12</v>
      </c>
      <c r="AU137">
        <v>3</v>
      </c>
      <c r="AV137">
        <v>4</v>
      </c>
      <c r="AW137">
        <v>10</v>
      </c>
      <c r="AX137">
        <v>14</v>
      </c>
      <c r="AY137">
        <v>11</v>
      </c>
      <c r="AZ137">
        <v>15</v>
      </c>
      <c r="BA137">
        <v>7</v>
      </c>
      <c r="BB137">
        <v>8</v>
      </c>
      <c r="BC137">
        <v>0</v>
      </c>
      <c r="BD137">
        <v>2</v>
      </c>
    </row>
    <row r="138" spans="1:56">
      <c r="A138" t="s">
        <v>54</v>
      </c>
    </row>
    <row r="139" spans="1:56">
      <c r="A139" t="s">
        <v>55</v>
      </c>
      <c r="B139" t="s">
        <v>56</v>
      </c>
      <c r="C139" t="s">
        <v>57</v>
      </c>
      <c r="D139" t="s">
        <v>99</v>
      </c>
      <c r="E139" t="s">
        <v>59</v>
      </c>
      <c r="F139" t="s">
        <v>60</v>
      </c>
    </row>
    <row r="140" spans="1:56">
      <c r="A140">
        <v>14</v>
      </c>
      <c r="B140">
        <v>0</v>
      </c>
      <c r="C140">
        <v>63</v>
      </c>
      <c r="D140">
        <v>-14</v>
      </c>
      <c r="E140">
        <v>0</v>
      </c>
      <c r="F140">
        <v>63</v>
      </c>
      <c r="G140">
        <v>0</v>
      </c>
      <c r="H140">
        <v>17</v>
      </c>
      <c r="I140">
        <v>-38</v>
      </c>
      <c r="J140">
        <v>-58</v>
      </c>
      <c r="K140">
        <v>0</v>
      </c>
      <c r="L140">
        <v>0</v>
      </c>
      <c r="M140">
        <v>58</v>
      </c>
      <c r="N140">
        <v>0</v>
      </c>
      <c r="O140">
        <v>0</v>
      </c>
      <c r="P140">
        <v>29</v>
      </c>
      <c r="Q140">
        <v>-26</v>
      </c>
      <c r="R140">
        <v>-9</v>
      </c>
      <c r="S140">
        <v>-29</v>
      </c>
      <c r="T140">
        <v>-26</v>
      </c>
      <c r="U140">
        <v>-9</v>
      </c>
      <c r="V140">
        <v>-8</v>
      </c>
      <c r="W140">
        <v>-3</v>
      </c>
      <c r="X140">
        <v>-24</v>
      </c>
      <c r="Y140">
        <v>8</v>
      </c>
      <c r="Z140">
        <v>-3</v>
      </c>
      <c r="AA140">
        <v>-24</v>
      </c>
      <c r="AB140">
        <v>0</v>
      </c>
      <c r="AC140">
        <v>-17</v>
      </c>
      <c r="AD140">
        <v>-15</v>
      </c>
      <c r="AE140">
        <v>12</v>
      </c>
      <c r="AF140">
        <v>2</v>
      </c>
      <c r="AG140">
        <v>47</v>
      </c>
      <c r="AH140">
        <v>5</v>
      </c>
      <c r="AI140">
        <v>0</v>
      </c>
      <c r="AJ140">
        <v>63</v>
      </c>
      <c r="AK140">
        <v>-12</v>
      </c>
      <c r="AL140">
        <v>2</v>
      </c>
      <c r="AM140">
        <v>47</v>
      </c>
      <c r="AN140">
        <v>-5</v>
      </c>
      <c r="AO140">
        <v>0</v>
      </c>
      <c r="AP140">
        <v>63</v>
      </c>
    </row>
    <row r="141" spans="1:56">
      <c r="A141" t="s">
        <v>54</v>
      </c>
    </row>
    <row r="142" spans="1:56">
      <c r="A142" t="s">
        <v>55</v>
      </c>
      <c r="B142" t="s">
        <v>56</v>
      </c>
      <c r="C142" t="s">
        <v>61</v>
      </c>
      <c r="D142" t="s">
        <v>100</v>
      </c>
      <c r="E142" t="s">
        <v>59</v>
      </c>
      <c r="F142" t="s">
        <v>60</v>
      </c>
    </row>
    <row r="143" spans="1:56">
      <c r="A143">
        <v>1</v>
      </c>
      <c r="B143">
        <v>2</v>
      </c>
      <c r="C143">
        <v>0</v>
      </c>
      <c r="D143">
        <v>1</v>
      </c>
      <c r="E143">
        <v>1</v>
      </c>
      <c r="F143">
        <v>3</v>
      </c>
      <c r="G143">
        <v>0</v>
      </c>
      <c r="H143">
        <v>5</v>
      </c>
      <c r="I143">
        <v>5</v>
      </c>
      <c r="J143">
        <v>6</v>
      </c>
      <c r="K143">
        <v>2</v>
      </c>
      <c r="L143">
        <v>4</v>
      </c>
      <c r="M143">
        <v>8</v>
      </c>
      <c r="N143">
        <v>9</v>
      </c>
      <c r="O143">
        <v>4</v>
      </c>
      <c r="P143">
        <v>5</v>
      </c>
      <c r="Q143">
        <v>2</v>
      </c>
      <c r="R143">
        <v>6</v>
      </c>
      <c r="S143">
        <v>2</v>
      </c>
      <c r="T143">
        <v>3</v>
      </c>
      <c r="U143">
        <v>3</v>
      </c>
      <c r="V143">
        <v>6</v>
      </c>
      <c r="W143">
        <v>0</v>
      </c>
      <c r="X143">
        <v>4</v>
      </c>
      <c r="Y143">
        <v>1</v>
      </c>
      <c r="Z143">
        <v>6</v>
      </c>
      <c r="AA143">
        <v>2</v>
      </c>
      <c r="AB143">
        <v>5</v>
      </c>
      <c r="AC143">
        <v>7</v>
      </c>
      <c r="AD143">
        <v>8</v>
      </c>
      <c r="AE143">
        <v>0</v>
      </c>
      <c r="AF143">
        <v>2</v>
      </c>
      <c r="AG143">
        <v>7</v>
      </c>
      <c r="AH143">
        <v>9</v>
      </c>
    </row>
    <row r="144" spans="1:56">
      <c r="A144" t="s">
        <v>54</v>
      </c>
    </row>
    <row r="145" spans="1:44">
      <c r="A145" t="s">
        <v>55</v>
      </c>
      <c r="B145" t="s">
        <v>56</v>
      </c>
      <c r="C145" t="s">
        <v>57</v>
      </c>
      <c r="D145" t="s">
        <v>101</v>
      </c>
      <c r="E145" t="s">
        <v>59</v>
      </c>
      <c r="F145" t="s">
        <v>60</v>
      </c>
    </row>
    <row r="146" spans="1:44">
      <c r="A146">
        <v>-20</v>
      </c>
      <c r="B146">
        <v>-30</v>
      </c>
      <c r="C146">
        <v>-12</v>
      </c>
      <c r="D146">
        <v>-20</v>
      </c>
      <c r="E146">
        <v>52</v>
      </c>
      <c r="F146">
        <v>-12</v>
      </c>
      <c r="G146">
        <v>26</v>
      </c>
      <c r="H146">
        <v>43</v>
      </c>
      <c r="I146">
        <v>15</v>
      </c>
      <c r="J146">
        <v>13</v>
      </c>
      <c r="K146">
        <v>-63</v>
      </c>
      <c r="L146">
        <v>8</v>
      </c>
    </row>
    <row r="147" spans="1:44">
      <c r="A147" t="s">
        <v>54</v>
      </c>
    </row>
    <row r="148" spans="1:44">
      <c r="A148" t="s">
        <v>55</v>
      </c>
      <c r="B148" t="s">
        <v>56</v>
      </c>
      <c r="C148" t="s">
        <v>61</v>
      </c>
      <c r="D148" t="s">
        <v>102</v>
      </c>
      <c r="E148" t="s">
        <v>59</v>
      </c>
      <c r="F148" t="s">
        <v>60</v>
      </c>
    </row>
    <row r="149" spans="1:44">
      <c r="A149">
        <v>0</v>
      </c>
      <c r="B149">
        <v>1</v>
      </c>
      <c r="C149">
        <v>1</v>
      </c>
      <c r="D149">
        <v>2</v>
      </c>
      <c r="E149">
        <v>0</v>
      </c>
      <c r="F149">
        <v>3</v>
      </c>
      <c r="G149">
        <v>2</v>
      </c>
      <c r="H149">
        <v>3</v>
      </c>
    </row>
    <row r="150" spans="1:44">
      <c r="A150" t="s">
        <v>54</v>
      </c>
    </row>
    <row r="151" spans="1:44">
      <c r="A151" t="s">
        <v>55</v>
      </c>
      <c r="B151" t="s">
        <v>56</v>
      </c>
      <c r="C151" t="s">
        <v>57</v>
      </c>
      <c r="D151" t="s">
        <v>103</v>
      </c>
      <c r="E151" t="s">
        <v>59</v>
      </c>
      <c r="F151" t="s">
        <v>60</v>
      </c>
    </row>
    <row r="152" spans="1:44">
      <c r="A152">
        <v>0</v>
      </c>
      <c r="B152">
        <v>0</v>
      </c>
      <c r="C152">
        <v>63</v>
      </c>
      <c r="D152">
        <v>0</v>
      </c>
      <c r="E152">
        <v>13</v>
      </c>
      <c r="F152">
        <v>13</v>
      </c>
      <c r="G152">
        <v>27</v>
      </c>
      <c r="H152">
        <v>0</v>
      </c>
      <c r="I152">
        <v>-4</v>
      </c>
      <c r="J152">
        <v>-27</v>
      </c>
      <c r="K152">
        <v>0</v>
      </c>
      <c r="L152">
        <v>-4</v>
      </c>
      <c r="M152">
        <v>0</v>
      </c>
      <c r="N152">
        <v>13</v>
      </c>
      <c r="O152">
        <v>-9</v>
      </c>
      <c r="P152">
        <v>0</v>
      </c>
      <c r="Q152">
        <v>6</v>
      </c>
      <c r="R152">
        <v>-31</v>
      </c>
      <c r="S152">
        <v>-13</v>
      </c>
      <c r="T152">
        <v>0</v>
      </c>
      <c r="U152">
        <v>-31</v>
      </c>
      <c r="V152">
        <v>13</v>
      </c>
      <c r="W152">
        <v>0</v>
      </c>
      <c r="X152">
        <v>-31</v>
      </c>
      <c r="Y152">
        <v>0</v>
      </c>
      <c r="Z152">
        <v>-13</v>
      </c>
      <c r="AA152">
        <v>13</v>
      </c>
      <c r="AB152">
        <v>0</v>
      </c>
      <c r="AC152">
        <v>-13</v>
      </c>
      <c r="AD152">
        <v>-9</v>
      </c>
      <c r="AE152">
        <v>0</v>
      </c>
      <c r="AF152">
        <v>-6</v>
      </c>
      <c r="AG152">
        <v>-31</v>
      </c>
    </row>
    <row r="153" spans="1:44">
      <c r="A153" t="s">
        <v>54</v>
      </c>
    </row>
    <row r="154" spans="1:44">
      <c r="A154" t="s">
        <v>55</v>
      </c>
      <c r="B154" t="s">
        <v>56</v>
      </c>
      <c r="C154" t="s">
        <v>61</v>
      </c>
      <c r="D154" t="s">
        <v>104</v>
      </c>
      <c r="E154" t="s">
        <v>59</v>
      </c>
      <c r="F154" t="s">
        <v>60</v>
      </c>
    </row>
    <row r="155" spans="1:44">
      <c r="A155">
        <v>1</v>
      </c>
      <c r="B155">
        <v>3</v>
      </c>
      <c r="C155">
        <v>5</v>
      </c>
      <c r="D155">
        <v>6</v>
      </c>
      <c r="E155">
        <v>2</v>
      </c>
      <c r="F155">
        <v>8</v>
      </c>
      <c r="G155">
        <v>8</v>
      </c>
      <c r="H155">
        <v>9</v>
      </c>
      <c r="I155">
        <v>0</v>
      </c>
      <c r="J155">
        <v>3</v>
      </c>
      <c r="K155">
        <v>1</v>
      </c>
      <c r="L155">
        <v>2</v>
      </c>
      <c r="M155">
        <v>2</v>
      </c>
      <c r="N155">
        <v>9</v>
      </c>
      <c r="O155">
        <v>6</v>
      </c>
      <c r="P155">
        <v>10</v>
      </c>
      <c r="Q155">
        <v>3</v>
      </c>
      <c r="R155">
        <v>6</v>
      </c>
      <c r="S155">
        <v>2</v>
      </c>
      <c r="T155">
        <v>7</v>
      </c>
      <c r="U155">
        <v>7</v>
      </c>
      <c r="V155">
        <v>10</v>
      </c>
      <c r="W155">
        <v>4</v>
      </c>
      <c r="X155">
        <v>5</v>
      </c>
      <c r="Y155">
        <v>1</v>
      </c>
      <c r="Z155">
        <v>4</v>
      </c>
      <c r="AA155">
        <v>9</v>
      </c>
      <c r="AB155">
        <v>10</v>
      </c>
      <c r="AC155">
        <v>3</v>
      </c>
      <c r="AD155">
        <v>9</v>
      </c>
      <c r="AE155">
        <v>0</v>
      </c>
      <c r="AF155">
        <v>8</v>
      </c>
      <c r="AG155">
        <v>0</v>
      </c>
      <c r="AH155">
        <v>1</v>
      </c>
      <c r="AI155">
        <v>5</v>
      </c>
      <c r="AJ155">
        <v>7</v>
      </c>
      <c r="AK155">
        <v>0</v>
      </c>
      <c r="AL155">
        <v>2</v>
      </c>
      <c r="AM155">
        <v>3</v>
      </c>
      <c r="AN155">
        <v>8</v>
      </c>
      <c r="AO155">
        <v>3</v>
      </c>
      <c r="AP155">
        <v>4</v>
      </c>
      <c r="AQ155">
        <v>2</v>
      </c>
      <c r="AR155">
        <v>4</v>
      </c>
    </row>
    <row r="156" spans="1:44">
      <c r="A156" t="s">
        <v>54</v>
      </c>
    </row>
    <row r="157" spans="1:44">
      <c r="A157" t="s">
        <v>55</v>
      </c>
      <c r="B157" t="s">
        <v>56</v>
      </c>
      <c r="C157" t="s">
        <v>57</v>
      </c>
      <c r="D157" t="s">
        <v>105</v>
      </c>
      <c r="E157" t="s">
        <v>59</v>
      </c>
      <c r="F157" t="s">
        <v>60</v>
      </c>
    </row>
    <row r="158" spans="1:44">
      <c r="A158">
        <v>-31</v>
      </c>
      <c r="B158">
        <v>0</v>
      </c>
      <c r="C158">
        <v>35</v>
      </c>
      <c r="D158">
        <v>31</v>
      </c>
      <c r="E158">
        <v>0</v>
      </c>
      <c r="F158">
        <v>35</v>
      </c>
      <c r="G158">
        <v>63</v>
      </c>
      <c r="H158">
        <v>0</v>
      </c>
      <c r="I158">
        <v>-27</v>
      </c>
      <c r="J158">
        <v>-63</v>
      </c>
      <c r="K158">
        <v>0</v>
      </c>
      <c r="L158">
        <v>-27</v>
      </c>
      <c r="M158">
        <v>0</v>
      </c>
      <c r="N158">
        <v>15</v>
      </c>
      <c r="O158">
        <v>-27</v>
      </c>
      <c r="P158">
        <v>0</v>
      </c>
      <c r="Q158">
        <v>-15</v>
      </c>
      <c r="R158">
        <v>-27</v>
      </c>
      <c r="S158">
        <v>-11</v>
      </c>
      <c r="T158">
        <v>5</v>
      </c>
      <c r="U158">
        <v>-27</v>
      </c>
      <c r="V158">
        <v>11</v>
      </c>
      <c r="W158">
        <v>5</v>
      </c>
      <c r="X158">
        <v>-27</v>
      </c>
      <c r="Y158">
        <v>11</v>
      </c>
      <c r="Z158">
        <v>-5</v>
      </c>
      <c r="AA158">
        <v>-27</v>
      </c>
      <c r="AB158">
        <v>-11</v>
      </c>
      <c r="AC158">
        <v>-5</v>
      </c>
      <c r="AD158">
        <v>-27</v>
      </c>
    </row>
    <row r="159" spans="1:44">
      <c r="A159" t="s">
        <v>54</v>
      </c>
    </row>
    <row r="160" spans="1:44">
      <c r="A160" t="s">
        <v>55</v>
      </c>
      <c r="B160" t="s">
        <v>56</v>
      </c>
      <c r="C160" t="s">
        <v>61</v>
      </c>
      <c r="D160" t="s">
        <v>106</v>
      </c>
      <c r="E160" t="s">
        <v>59</v>
      </c>
      <c r="F160" t="s">
        <v>60</v>
      </c>
    </row>
    <row r="161" spans="1:60">
      <c r="A161">
        <v>0</v>
      </c>
      <c r="B161">
        <v>1</v>
      </c>
      <c r="C161">
        <v>1</v>
      </c>
      <c r="D161">
        <v>2</v>
      </c>
      <c r="E161">
        <v>2</v>
      </c>
      <c r="F161">
        <v>5</v>
      </c>
      <c r="G161">
        <v>6</v>
      </c>
      <c r="H161">
        <v>7</v>
      </c>
      <c r="I161">
        <v>7</v>
      </c>
      <c r="J161">
        <v>8</v>
      </c>
      <c r="K161">
        <v>6</v>
      </c>
      <c r="L161">
        <v>9</v>
      </c>
      <c r="M161">
        <v>1</v>
      </c>
      <c r="N161">
        <v>4</v>
      </c>
      <c r="O161">
        <v>8</v>
      </c>
      <c r="P161">
        <v>9</v>
      </c>
      <c r="Q161">
        <v>1</v>
      </c>
      <c r="R161">
        <v>5</v>
      </c>
      <c r="S161">
        <v>0</v>
      </c>
      <c r="T161">
        <v>5</v>
      </c>
      <c r="U161">
        <v>0</v>
      </c>
      <c r="V161">
        <v>4</v>
      </c>
      <c r="W161">
        <v>0</v>
      </c>
      <c r="X161">
        <v>3</v>
      </c>
      <c r="Y161">
        <v>3</v>
      </c>
      <c r="Z161">
        <v>4</v>
      </c>
      <c r="AA161">
        <v>2</v>
      </c>
      <c r="AB161">
        <v>4</v>
      </c>
      <c r="AC161">
        <v>3</v>
      </c>
      <c r="AD161">
        <v>5</v>
      </c>
    </row>
    <row r="162" spans="1:60">
      <c r="A162" t="s">
        <v>54</v>
      </c>
    </row>
    <row r="163" spans="1:60">
      <c r="A163" t="s">
        <v>55</v>
      </c>
      <c r="B163" t="s">
        <v>56</v>
      </c>
      <c r="C163" t="s">
        <v>57</v>
      </c>
      <c r="D163" t="s">
        <v>107</v>
      </c>
      <c r="E163" t="s">
        <v>59</v>
      </c>
      <c r="F163" t="s">
        <v>60</v>
      </c>
    </row>
    <row r="164" spans="1:60">
      <c r="A164">
        <v>0</v>
      </c>
      <c r="B164">
        <v>-30</v>
      </c>
      <c r="C164">
        <v>41</v>
      </c>
      <c r="D164">
        <v>-30</v>
      </c>
      <c r="E164">
        <v>0</v>
      </c>
      <c r="F164">
        <v>41</v>
      </c>
      <c r="G164">
        <v>0</v>
      </c>
      <c r="H164">
        <v>32</v>
      </c>
      <c r="I164">
        <v>41</v>
      </c>
      <c r="J164">
        <v>32</v>
      </c>
      <c r="K164">
        <v>0</v>
      </c>
      <c r="L164">
        <v>41</v>
      </c>
      <c r="M164">
        <v>-36</v>
      </c>
      <c r="N164">
        <v>-36</v>
      </c>
      <c r="O164">
        <v>-48</v>
      </c>
      <c r="P164">
        <v>-36</v>
      </c>
      <c r="Q164">
        <v>36</v>
      </c>
      <c r="R164">
        <v>-48</v>
      </c>
      <c r="S164">
        <v>36</v>
      </c>
      <c r="T164">
        <v>36</v>
      </c>
      <c r="U164">
        <v>-48</v>
      </c>
      <c r="V164">
        <v>36</v>
      </c>
      <c r="W164">
        <v>-36</v>
      </c>
      <c r="X164">
        <v>-48</v>
      </c>
      <c r="Y164">
        <v>9</v>
      </c>
      <c r="Z164">
        <v>0</v>
      </c>
      <c r="AA164">
        <v>-48</v>
      </c>
      <c r="AB164">
        <v>0</v>
      </c>
      <c r="AC164">
        <v>-3</v>
      </c>
      <c r="AD164">
        <v>-48</v>
      </c>
      <c r="AE164">
        <v>-9</v>
      </c>
      <c r="AF164">
        <v>0</v>
      </c>
      <c r="AG164">
        <v>-48</v>
      </c>
      <c r="AH164">
        <v>0</v>
      </c>
      <c r="AI164">
        <v>5</v>
      </c>
      <c r="AJ164">
        <v>-48</v>
      </c>
      <c r="AK164">
        <v>0</v>
      </c>
      <c r="AL164">
        <v>-16</v>
      </c>
      <c r="AM164">
        <v>63</v>
      </c>
      <c r="AN164">
        <v>5</v>
      </c>
      <c r="AO164">
        <v>-1</v>
      </c>
      <c r="AP164">
        <v>55</v>
      </c>
      <c r="AQ164">
        <v>7</v>
      </c>
      <c r="AR164">
        <v>19</v>
      </c>
      <c r="AS164">
        <v>45</v>
      </c>
      <c r="AT164">
        <v>19</v>
      </c>
      <c r="AU164">
        <v>7</v>
      </c>
      <c r="AV164">
        <v>45</v>
      </c>
      <c r="AW164">
        <v>-5</v>
      </c>
      <c r="AX164">
        <v>-1</v>
      </c>
      <c r="AY164">
        <v>55</v>
      </c>
      <c r="AZ164">
        <v>-5</v>
      </c>
      <c r="BA164">
        <v>19</v>
      </c>
      <c r="BB164">
        <v>45</v>
      </c>
      <c r="BC164">
        <v>-18</v>
      </c>
      <c r="BD164">
        <v>7</v>
      </c>
      <c r="BE164">
        <v>45</v>
      </c>
    </row>
    <row r="165" spans="1:60">
      <c r="A165" t="s">
        <v>54</v>
      </c>
    </row>
    <row r="166" spans="1:60">
      <c r="A166" t="s">
        <v>55</v>
      </c>
      <c r="B166" t="s">
        <v>56</v>
      </c>
      <c r="C166" t="s">
        <v>61</v>
      </c>
      <c r="D166" t="s">
        <v>108</v>
      </c>
      <c r="E166" t="s">
        <v>59</v>
      </c>
      <c r="F166" t="s">
        <v>60</v>
      </c>
    </row>
    <row r="167" spans="1:60">
      <c r="A167">
        <v>4</v>
      </c>
      <c r="B167">
        <v>7</v>
      </c>
      <c r="C167">
        <v>10</v>
      </c>
      <c r="D167">
        <v>11</v>
      </c>
      <c r="E167">
        <v>5</v>
      </c>
      <c r="F167">
        <v>6</v>
      </c>
      <c r="G167">
        <v>0</v>
      </c>
      <c r="H167">
        <v>7</v>
      </c>
      <c r="I167">
        <v>8</v>
      </c>
      <c r="J167">
        <v>9</v>
      </c>
      <c r="K167">
        <v>2</v>
      </c>
      <c r="L167">
        <v>12</v>
      </c>
      <c r="M167">
        <v>3</v>
      </c>
      <c r="N167">
        <v>7</v>
      </c>
      <c r="O167">
        <v>2</v>
      </c>
      <c r="P167">
        <v>5</v>
      </c>
      <c r="Q167">
        <v>0</v>
      </c>
      <c r="R167">
        <v>3</v>
      </c>
      <c r="S167">
        <v>1</v>
      </c>
      <c r="T167">
        <v>2</v>
      </c>
      <c r="U167">
        <v>6</v>
      </c>
      <c r="V167">
        <v>7</v>
      </c>
      <c r="W167">
        <v>1</v>
      </c>
      <c r="X167">
        <v>5</v>
      </c>
      <c r="Y167">
        <v>3</v>
      </c>
      <c r="Z167">
        <v>6</v>
      </c>
      <c r="AA167">
        <v>0</v>
      </c>
      <c r="AB167">
        <v>4</v>
      </c>
      <c r="AC167">
        <v>16</v>
      </c>
      <c r="AD167">
        <v>18</v>
      </c>
      <c r="AE167">
        <v>16</v>
      </c>
      <c r="AF167">
        <v>17</v>
      </c>
      <c r="AG167">
        <v>2</v>
      </c>
      <c r="AH167">
        <v>6</v>
      </c>
      <c r="AI167">
        <v>4</v>
      </c>
      <c r="AJ167">
        <v>5</v>
      </c>
      <c r="AK167">
        <v>8</v>
      </c>
      <c r="AL167">
        <v>11</v>
      </c>
      <c r="AM167">
        <v>13</v>
      </c>
      <c r="AN167">
        <v>15</v>
      </c>
      <c r="AO167">
        <v>1</v>
      </c>
      <c r="AP167">
        <v>4</v>
      </c>
      <c r="AQ167">
        <v>0</v>
      </c>
      <c r="AR167">
        <v>12</v>
      </c>
      <c r="AS167">
        <v>9</v>
      </c>
      <c r="AT167">
        <v>10</v>
      </c>
      <c r="AU167">
        <v>2</v>
      </c>
      <c r="AV167">
        <v>3</v>
      </c>
      <c r="AW167">
        <v>0</v>
      </c>
      <c r="AX167">
        <v>1</v>
      </c>
      <c r="AY167">
        <v>3</v>
      </c>
      <c r="AZ167">
        <v>12</v>
      </c>
      <c r="BA167">
        <v>1</v>
      </c>
      <c r="BB167">
        <v>12</v>
      </c>
      <c r="BC167">
        <v>13</v>
      </c>
      <c r="BD167">
        <v>14</v>
      </c>
      <c r="BE167">
        <v>17</v>
      </c>
      <c r="BF167">
        <v>18</v>
      </c>
      <c r="BG167">
        <v>14</v>
      </c>
      <c r="BH167">
        <v>15</v>
      </c>
    </row>
    <row r="168" spans="1:60">
      <c r="A168" t="s">
        <v>54</v>
      </c>
    </row>
    <row r="169" spans="1:60">
      <c r="A169" t="s">
        <v>55</v>
      </c>
      <c r="B169" t="s">
        <v>56</v>
      </c>
      <c r="C169" t="s">
        <v>57</v>
      </c>
      <c r="D169" t="s">
        <v>109</v>
      </c>
      <c r="E169" t="s">
        <v>59</v>
      </c>
      <c r="F169" t="s">
        <v>60</v>
      </c>
    </row>
    <row r="170" spans="1:60">
      <c r="A170">
        <v>-14</v>
      </c>
      <c r="B170">
        <v>0</v>
      </c>
      <c r="C170">
        <v>63</v>
      </c>
      <c r="D170">
        <v>-14</v>
      </c>
      <c r="E170">
        <v>-59</v>
      </c>
      <c r="F170">
        <v>18</v>
      </c>
      <c r="G170">
        <v>-14</v>
      </c>
      <c r="H170">
        <v>-37</v>
      </c>
      <c r="I170">
        <v>-50</v>
      </c>
      <c r="J170">
        <v>-14</v>
      </c>
      <c r="K170">
        <v>37</v>
      </c>
      <c r="L170">
        <v>-50</v>
      </c>
      <c r="M170">
        <v>-14</v>
      </c>
      <c r="N170">
        <v>59</v>
      </c>
      <c r="O170">
        <v>18</v>
      </c>
      <c r="P170">
        <v>14</v>
      </c>
      <c r="Q170">
        <v>0</v>
      </c>
      <c r="R170">
        <v>-12</v>
      </c>
      <c r="S170">
        <v>14</v>
      </c>
      <c r="T170">
        <v>-15</v>
      </c>
      <c r="U170">
        <v>-23</v>
      </c>
      <c r="V170">
        <v>14</v>
      </c>
      <c r="W170">
        <v>-9</v>
      </c>
      <c r="X170">
        <v>-40</v>
      </c>
      <c r="Y170">
        <v>14</v>
      </c>
      <c r="Z170">
        <v>9</v>
      </c>
      <c r="AA170">
        <v>-40</v>
      </c>
      <c r="AB170">
        <v>14</v>
      </c>
      <c r="AC170">
        <v>15</v>
      </c>
      <c r="AD170">
        <v>-23</v>
      </c>
    </row>
    <row r="171" spans="1:60">
      <c r="A171" t="s">
        <v>54</v>
      </c>
    </row>
    <row r="172" spans="1:60">
      <c r="A172" t="s">
        <v>55</v>
      </c>
      <c r="B172" t="s">
        <v>56</v>
      </c>
      <c r="C172" t="s">
        <v>61</v>
      </c>
      <c r="D172" t="s">
        <v>110</v>
      </c>
      <c r="E172" t="s">
        <v>59</v>
      </c>
      <c r="F172" t="s">
        <v>60</v>
      </c>
    </row>
    <row r="173" spans="1:60">
      <c r="A173">
        <v>0</v>
      </c>
      <c r="B173">
        <v>1</v>
      </c>
      <c r="C173">
        <v>1</v>
      </c>
      <c r="D173">
        <v>2</v>
      </c>
      <c r="E173">
        <v>6</v>
      </c>
      <c r="F173">
        <v>7</v>
      </c>
      <c r="G173">
        <v>5</v>
      </c>
      <c r="H173">
        <v>9</v>
      </c>
      <c r="I173">
        <v>5</v>
      </c>
      <c r="J173">
        <v>6</v>
      </c>
      <c r="K173">
        <v>7</v>
      </c>
      <c r="L173">
        <v>8</v>
      </c>
      <c r="M173">
        <v>2</v>
      </c>
      <c r="N173">
        <v>7</v>
      </c>
      <c r="O173">
        <v>1</v>
      </c>
      <c r="P173">
        <v>6</v>
      </c>
      <c r="Q173">
        <v>3</v>
      </c>
      <c r="R173">
        <v>8</v>
      </c>
      <c r="S173">
        <v>2</v>
      </c>
      <c r="T173">
        <v>3</v>
      </c>
      <c r="U173">
        <v>0</v>
      </c>
      <c r="V173">
        <v>4</v>
      </c>
      <c r="W173">
        <v>0</v>
      </c>
      <c r="X173">
        <v>5</v>
      </c>
      <c r="Y173">
        <v>8</v>
      </c>
      <c r="Z173">
        <v>9</v>
      </c>
      <c r="AA173">
        <v>4</v>
      </c>
      <c r="AB173">
        <v>9</v>
      </c>
      <c r="AC173">
        <v>3</v>
      </c>
      <c r="AD173">
        <v>4</v>
      </c>
    </row>
    <row r="174" spans="1:60">
      <c r="A174" t="s">
        <v>54</v>
      </c>
    </row>
    <row r="175" spans="1:60">
      <c r="A175" t="s">
        <v>55</v>
      </c>
      <c r="B175" t="s">
        <v>56</v>
      </c>
      <c r="C175" t="s">
        <v>57</v>
      </c>
      <c r="D175" t="s">
        <v>111</v>
      </c>
      <c r="E175" t="s">
        <v>59</v>
      </c>
      <c r="F175" t="s">
        <v>60</v>
      </c>
    </row>
    <row r="176" spans="1:60">
      <c r="A176">
        <v>12</v>
      </c>
      <c r="B176">
        <v>-18</v>
      </c>
      <c r="C176">
        <v>18</v>
      </c>
      <c r="D176">
        <v>12</v>
      </c>
      <c r="E176">
        <v>-26</v>
      </c>
      <c r="F176">
        <v>0</v>
      </c>
      <c r="G176">
        <v>12</v>
      </c>
      <c r="H176">
        <v>-18</v>
      </c>
      <c r="I176">
        <v>-18</v>
      </c>
      <c r="J176">
        <v>12</v>
      </c>
      <c r="K176">
        <v>0</v>
      </c>
      <c r="L176">
        <v>-26</v>
      </c>
      <c r="M176">
        <v>12</v>
      </c>
      <c r="N176">
        <v>18</v>
      </c>
      <c r="O176">
        <v>-18</v>
      </c>
      <c r="P176">
        <v>12</v>
      </c>
      <c r="Q176">
        <v>26</v>
      </c>
      <c r="R176">
        <v>0</v>
      </c>
      <c r="S176">
        <v>12</v>
      </c>
      <c r="T176">
        <v>18</v>
      </c>
      <c r="U176">
        <v>18</v>
      </c>
      <c r="V176">
        <v>12</v>
      </c>
      <c r="W176">
        <v>0</v>
      </c>
      <c r="X176">
        <v>26</v>
      </c>
      <c r="Y176">
        <v>-9</v>
      </c>
      <c r="Z176">
        <v>-44</v>
      </c>
      <c r="AA176">
        <v>44</v>
      </c>
      <c r="AB176">
        <v>-9</v>
      </c>
      <c r="AC176">
        <v>-63</v>
      </c>
      <c r="AD176">
        <v>0</v>
      </c>
      <c r="AE176">
        <v>-9</v>
      </c>
      <c r="AF176">
        <v>-44</v>
      </c>
      <c r="AG176">
        <v>-44</v>
      </c>
      <c r="AH176">
        <v>-9</v>
      </c>
      <c r="AI176">
        <v>0</v>
      </c>
      <c r="AJ176">
        <v>-63</v>
      </c>
      <c r="AK176">
        <v>-9</v>
      </c>
      <c r="AL176">
        <v>44</v>
      </c>
      <c r="AM176">
        <v>-44</v>
      </c>
      <c r="AN176">
        <v>-9</v>
      </c>
      <c r="AO176">
        <v>63</v>
      </c>
      <c r="AP176">
        <v>0</v>
      </c>
      <c r="AQ176">
        <v>-9</v>
      </c>
      <c r="AR176">
        <v>44</v>
      </c>
      <c r="AS176">
        <v>44</v>
      </c>
      <c r="AT176">
        <v>-9</v>
      </c>
      <c r="AU176">
        <v>0</v>
      </c>
      <c r="AV176">
        <v>63</v>
      </c>
      <c r="AW176">
        <v>-9</v>
      </c>
      <c r="AX176">
        <v>24</v>
      </c>
      <c r="AY176">
        <v>30</v>
      </c>
      <c r="AZ176">
        <v>-9</v>
      </c>
      <c r="BA176">
        <v>24</v>
      </c>
      <c r="BB176">
        <v>-30</v>
      </c>
      <c r="BC176">
        <v>-9</v>
      </c>
      <c r="BD176">
        <v>-24</v>
      </c>
      <c r="BE176">
        <v>-30</v>
      </c>
      <c r="BF176">
        <v>-9</v>
      </c>
      <c r="BG176">
        <v>-24</v>
      </c>
      <c r="BH176">
        <v>30</v>
      </c>
    </row>
    <row r="177" spans="1:111">
      <c r="A177" t="s">
        <v>54</v>
      </c>
    </row>
    <row r="178" spans="1:111">
      <c r="A178" t="s">
        <v>55</v>
      </c>
      <c r="B178" t="s">
        <v>56</v>
      </c>
      <c r="C178" t="s">
        <v>61</v>
      </c>
      <c r="D178" t="s">
        <v>112</v>
      </c>
      <c r="E178" t="s">
        <v>59</v>
      </c>
      <c r="F178" t="s">
        <v>60</v>
      </c>
    </row>
    <row r="179" spans="1:111">
      <c r="A179">
        <v>10</v>
      </c>
      <c r="B179">
        <v>11</v>
      </c>
      <c r="C179">
        <v>5</v>
      </c>
      <c r="D179">
        <v>6</v>
      </c>
      <c r="E179">
        <v>5</v>
      </c>
      <c r="F179">
        <v>13</v>
      </c>
      <c r="G179">
        <v>0</v>
      </c>
      <c r="H179">
        <v>7</v>
      </c>
      <c r="I179">
        <v>8</v>
      </c>
      <c r="J179">
        <v>9</v>
      </c>
      <c r="K179">
        <v>4</v>
      </c>
      <c r="L179">
        <v>12</v>
      </c>
      <c r="M179">
        <v>6</v>
      </c>
      <c r="N179">
        <v>14</v>
      </c>
      <c r="O179">
        <v>1</v>
      </c>
      <c r="P179">
        <v>2</v>
      </c>
      <c r="Q179">
        <v>0</v>
      </c>
      <c r="R179">
        <v>8</v>
      </c>
      <c r="S179">
        <v>6</v>
      </c>
      <c r="T179">
        <v>7</v>
      </c>
      <c r="U179">
        <v>7</v>
      </c>
      <c r="V179">
        <v>15</v>
      </c>
      <c r="W179">
        <v>12</v>
      </c>
      <c r="X179">
        <v>13</v>
      </c>
      <c r="Y179">
        <v>8</v>
      </c>
      <c r="Z179">
        <v>15</v>
      </c>
      <c r="AA179">
        <v>4</v>
      </c>
      <c r="AB179">
        <v>5</v>
      </c>
      <c r="AC179">
        <v>3</v>
      </c>
      <c r="AD179">
        <v>11</v>
      </c>
      <c r="AE179">
        <v>9</v>
      </c>
      <c r="AF179">
        <v>10</v>
      </c>
      <c r="AG179">
        <v>2</v>
      </c>
      <c r="AH179">
        <v>3</v>
      </c>
      <c r="AI179">
        <v>1</v>
      </c>
      <c r="AJ179">
        <v>9</v>
      </c>
      <c r="AK179">
        <v>2</v>
      </c>
      <c r="AL179">
        <v>10</v>
      </c>
      <c r="AM179">
        <v>11</v>
      </c>
      <c r="AN179">
        <v>12</v>
      </c>
      <c r="AO179">
        <v>0</v>
      </c>
      <c r="AP179">
        <v>1</v>
      </c>
      <c r="AQ179">
        <v>13</v>
      </c>
      <c r="AR179">
        <v>14</v>
      </c>
      <c r="AS179">
        <v>14</v>
      </c>
      <c r="AT179">
        <v>15</v>
      </c>
      <c r="AU179">
        <v>3</v>
      </c>
      <c r="AV179">
        <v>4</v>
      </c>
    </row>
    <row r="180" spans="1:111">
      <c r="A180" t="s">
        <v>54</v>
      </c>
    </row>
    <row r="181" spans="1:111">
      <c r="A181" t="s">
        <v>55</v>
      </c>
      <c r="B181" t="s">
        <v>56</v>
      </c>
      <c r="C181" t="s">
        <v>57</v>
      </c>
      <c r="D181" t="s">
        <v>113</v>
      </c>
      <c r="E181" t="s">
        <v>59</v>
      </c>
      <c r="F181" t="s">
        <v>60</v>
      </c>
    </row>
    <row r="182" spans="1:111">
      <c r="A182">
        <v>0</v>
      </c>
      <c r="B182">
        <v>19</v>
      </c>
      <c r="C182">
        <v>-49</v>
      </c>
      <c r="D182">
        <v>-47</v>
      </c>
      <c r="E182">
        <v>7</v>
      </c>
      <c r="F182">
        <v>-49</v>
      </c>
      <c r="G182">
        <v>-53</v>
      </c>
      <c r="H182">
        <v>-5</v>
      </c>
      <c r="I182">
        <v>-49</v>
      </c>
      <c r="J182">
        <v>-47</v>
      </c>
      <c r="K182">
        <v>-15</v>
      </c>
      <c r="L182">
        <v>-49</v>
      </c>
      <c r="M182">
        <v>49</v>
      </c>
      <c r="N182">
        <v>-15</v>
      </c>
      <c r="O182">
        <v>-49</v>
      </c>
      <c r="P182">
        <v>55</v>
      </c>
      <c r="Q182">
        <v>-5</v>
      </c>
      <c r="R182">
        <v>-49</v>
      </c>
      <c r="S182">
        <v>49</v>
      </c>
      <c r="T182">
        <v>7</v>
      </c>
      <c r="U182">
        <v>-49</v>
      </c>
      <c r="V182">
        <v>0</v>
      </c>
      <c r="W182">
        <v>11</v>
      </c>
      <c r="X182">
        <v>22</v>
      </c>
      <c r="Y182">
        <v>-57</v>
      </c>
      <c r="Z182">
        <v>-1</v>
      </c>
      <c r="AA182">
        <v>22</v>
      </c>
      <c r="AB182">
        <v>-63</v>
      </c>
      <c r="AC182">
        <v>-15</v>
      </c>
      <c r="AD182">
        <v>22</v>
      </c>
      <c r="AE182">
        <v>63</v>
      </c>
      <c r="AF182">
        <v>-15</v>
      </c>
      <c r="AG182">
        <v>22</v>
      </c>
      <c r="AH182">
        <v>57</v>
      </c>
      <c r="AI182">
        <v>-1</v>
      </c>
      <c r="AJ182">
        <v>22</v>
      </c>
      <c r="AK182">
        <v>-21</v>
      </c>
      <c r="AL182">
        <v>-3</v>
      </c>
      <c r="AM182">
        <v>57</v>
      </c>
      <c r="AN182">
        <v>-24</v>
      </c>
      <c r="AO182">
        <v>-15</v>
      </c>
      <c r="AP182">
        <v>57</v>
      </c>
      <c r="AQ182">
        <v>26</v>
      </c>
      <c r="AR182">
        <v>-15</v>
      </c>
      <c r="AS182">
        <v>57</v>
      </c>
      <c r="AT182">
        <v>21</v>
      </c>
      <c r="AU182">
        <v>-3</v>
      </c>
      <c r="AV182">
        <v>57</v>
      </c>
      <c r="AW182">
        <v>-9</v>
      </c>
      <c r="AX182">
        <v>11</v>
      </c>
      <c r="AY182">
        <v>3</v>
      </c>
      <c r="AZ182">
        <v>-34</v>
      </c>
      <c r="BA182">
        <v>5</v>
      </c>
      <c r="BB182">
        <v>3</v>
      </c>
      <c r="BC182">
        <v>-9</v>
      </c>
      <c r="BD182">
        <v>13</v>
      </c>
      <c r="BE182">
        <v>-13</v>
      </c>
      <c r="BF182">
        <v>-34</v>
      </c>
      <c r="BG182">
        <v>7</v>
      </c>
      <c r="BH182">
        <v>-13</v>
      </c>
      <c r="BI182">
        <v>-21</v>
      </c>
      <c r="BJ182">
        <v>11</v>
      </c>
      <c r="BK182">
        <v>-26</v>
      </c>
      <c r="BL182">
        <v>-21</v>
      </c>
      <c r="BM182">
        <v>9</v>
      </c>
      <c r="BN182">
        <v>-13</v>
      </c>
      <c r="BO182">
        <v>9</v>
      </c>
      <c r="BP182">
        <v>13</v>
      </c>
      <c r="BQ182">
        <v>-26</v>
      </c>
      <c r="BR182">
        <v>34</v>
      </c>
      <c r="BS182">
        <v>7</v>
      </c>
      <c r="BT182">
        <v>-26</v>
      </c>
      <c r="BU182">
        <v>21</v>
      </c>
      <c r="BV182">
        <v>9</v>
      </c>
      <c r="BW182">
        <v>-13</v>
      </c>
      <c r="BX182">
        <v>9</v>
      </c>
      <c r="BY182">
        <v>11</v>
      </c>
      <c r="BZ182">
        <v>-5</v>
      </c>
      <c r="CA182">
        <v>34</v>
      </c>
      <c r="CB182">
        <v>5</v>
      </c>
      <c r="CC182">
        <v>-5</v>
      </c>
      <c r="CD182">
        <v>21</v>
      </c>
      <c r="CE182">
        <v>7</v>
      </c>
      <c r="CF182">
        <v>15</v>
      </c>
      <c r="CG182">
        <v>21</v>
      </c>
      <c r="CH182">
        <v>9</v>
      </c>
      <c r="CI182">
        <v>-5</v>
      </c>
      <c r="CJ182">
        <v>-30</v>
      </c>
      <c r="CK182">
        <v>-15</v>
      </c>
      <c r="CL182">
        <v>-24</v>
      </c>
      <c r="CM182">
        <v>-30</v>
      </c>
      <c r="CN182">
        <v>-15</v>
      </c>
      <c r="CO182">
        <v>30</v>
      </c>
      <c r="CP182">
        <v>32</v>
      </c>
      <c r="CQ182">
        <v>-15</v>
      </c>
      <c r="CR182">
        <v>-24</v>
      </c>
      <c r="CS182">
        <v>32</v>
      </c>
      <c r="CT182">
        <v>-15</v>
      </c>
      <c r="CU182">
        <v>30</v>
      </c>
      <c r="CV182">
        <v>-24</v>
      </c>
      <c r="CW182">
        <v>-5</v>
      </c>
      <c r="CX182">
        <v>-49</v>
      </c>
      <c r="CY182">
        <v>24</v>
      </c>
      <c r="CZ182">
        <v>-5</v>
      </c>
      <c r="DA182">
        <v>-49</v>
      </c>
      <c r="DB182">
        <v>17</v>
      </c>
      <c r="DC182">
        <v>5</v>
      </c>
      <c r="DD182">
        <v>-49</v>
      </c>
      <c r="DE182">
        <v>-15</v>
      </c>
      <c r="DF182">
        <v>5</v>
      </c>
      <c r="DG182">
        <v>-49</v>
      </c>
    </row>
    <row r="183" spans="1:111">
      <c r="A183" t="s">
        <v>54</v>
      </c>
    </row>
    <row r="184" spans="1:111">
      <c r="A184" t="s">
        <v>55</v>
      </c>
      <c r="B184" t="s">
        <v>56</v>
      </c>
      <c r="C184" t="s">
        <v>61</v>
      </c>
      <c r="D184" t="s">
        <v>114</v>
      </c>
      <c r="E184" t="s">
        <v>59</v>
      </c>
      <c r="F184" t="s">
        <v>60</v>
      </c>
    </row>
    <row r="185" spans="1:111">
      <c r="A185">
        <v>10</v>
      </c>
      <c r="B185">
        <v>11</v>
      </c>
      <c r="C185">
        <v>5</v>
      </c>
      <c r="D185">
        <v>6</v>
      </c>
      <c r="E185">
        <v>0</v>
      </c>
      <c r="F185">
        <v>7</v>
      </c>
      <c r="G185">
        <v>8</v>
      </c>
      <c r="H185">
        <v>9</v>
      </c>
      <c r="I185">
        <v>34</v>
      </c>
      <c r="J185">
        <v>35</v>
      </c>
      <c r="K185">
        <v>7</v>
      </c>
      <c r="L185">
        <v>11</v>
      </c>
      <c r="M185">
        <v>1</v>
      </c>
      <c r="N185">
        <v>2</v>
      </c>
      <c r="O185">
        <v>7</v>
      </c>
      <c r="P185">
        <v>15</v>
      </c>
      <c r="Q185">
        <v>2</v>
      </c>
      <c r="R185">
        <v>9</v>
      </c>
      <c r="S185">
        <v>12</v>
      </c>
      <c r="T185">
        <v>13</v>
      </c>
      <c r="U185">
        <v>6</v>
      </c>
      <c r="V185">
        <v>11</v>
      </c>
      <c r="W185">
        <v>35</v>
      </c>
      <c r="X185">
        <v>36</v>
      </c>
      <c r="Y185">
        <v>4</v>
      </c>
      <c r="Z185">
        <v>10</v>
      </c>
      <c r="AA185">
        <v>4</v>
      </c>
      <c r="AB185">
        <v>5</v>
      </c>
      <c r="AC185">
        <v>33</v>
      </c>
      <c r="AD185">
        <v>34</v>
      </c>
      <c r="AE185">
        <v>3</v>
      </c>
      <c r="AF185">
        <v>9</v>
      </c>
      <c r="AG185">
        <v>2</v>
      </c>
      <c r="AH185">
        <v>3</v>
      </c>
      <c r="AI185">
        <v>33</v>
      </c>
      <c r="AJ185">
        <v>36</v>
      </c>
      <c r="AK185">
        <v>7</v>
      </c>
      <c r="AL185">
        <v>12</v>
      </c>
      <c r="AM185">
        <v>11</v>
      </c>
      <c r="AN185">
        <v>15</v>
      </c>
      <c r="AO185">
        <v>0</v>
      </c>
      <c r="AP185">
        <v>1</v>
      </c>
      <c r="AQ185">
        <v>9</v>
      </c>
      <c r="AR185">
        <v>13</v>
      </c>
      <c r="AS185">
        <v>12</v>
      </c>
      <c r="AT185">
        <v>15</v>
      </c>
      <c r="AU185">
        <v>5</v>
      </c>
      <c r="AV185">
        <v>10</v>
      </c>
      <c r="AW185">
        <v>8</v>
      </c>
      <c r="AX185">
        <v>12</v>
      </c>
      <c r="AY185">
        <v>13</v>
      </c>
      <c r="AZ185">
        <v>14</v>
      </c>
      <c r="BA185">
        <v>3</v>
      </c>
      <c r="BB185">
        <v>4</v>
      </c>
      <c r="BC185">
        <v>0</v>
      </c>
      <c r="BD185">
        <v>6</v>
      </c>
      <c r="BE185">
        <v>1</v>
      </c>
      <c r="BF185">
        <v>8</v>
      </c>
      <c r="BG185">
        <v>10</v>
      </c>
      <c r="BH185">
        <v>14</v>
      </c>
      <c r="BI185">
        <v>14</v>
      </c>
      <c r="BJ185">
        <v>15</v>
      </c>
      <c r="BK185">
        <v>7</v>
      </c>
      <c r="BL185">
        <v>8</v>
      </c>
    </row>
    <row r="186" spans="1:111">
      <c r="A186" t="s">
        <v>54</v>
      </c>
    </row>
    <row r="187" spans="1:111">
      <c r="A187" t="s">
        <v>55</v>
      </c>
      <c r="B187" t="s">
        <v>56</v>
      </c>
      <c r="C187" t="s">
        <v>57</v>
      </c>
      <c r="D187" t="s">
        <v>115</v>
      </c>
      <c r="E187" t="s">
        <v>59</v>
      </c>
      <c r="F187" t="s">
        <v>60</v>
      </c>
    </row>
    <row r="188" spans="1:111">
      <c r="A188">
        <v>0</v>
      </c>
      <c r="B188">
        <v>0</v>
      </c>
      <c r="C188">
        <v>63</v>
      </c>
      <c r="D188">
        <v>0</v>
      </c>
      <c r="E188">
        <v>14</v>
      </c>
      <c r="F188">
        <v>21</v>
      </c>
      <c r="G188">
        <v>0</v>
      </c>
      <c r="H188">
        <v>-14</v>
      </c>
      <c r="I188">
        <v>21</v>
      </c>
      <c r="J188">
        <v>42</v>
      </c>
      <c r="K188">
        <v>0</v>
      </c>
      <c r="L188">
        <v>-21</v>
      </c>
      <c r="M188">
        <v>-42</v>
      </c>
      <c r="N188">
        <v>0</v>
      </c>
      <c r="O188">
        <v>-21</v>
      </c>
      <c r="P188">
        <v>21</v>
      </c>
      <c r="Q188">
        <v>-14</v>
      </c>
      <c r="R188">
        <v>-21</v>
      </c>
      <c r="S188">
        <v>-21</v>
      </c>
      <c r="T188">
        <v>-14</v>
      </c>
      <c r="U188">
        <v>-21</v>
      </c>
      <c r="V188">
        <v>21</v>
      </c>
      <c r="W188">
        <v>14</v>
      </c>
      <c r="X188">
        <v>-21</v>
      </c>
      <c r="Y188">
        <v>-21</v>
      </c>
      <c r="Z188">
        <v>14</v>
      </c>
      <c r="AA188">
        <v>-21</v>
      </c>
      <c r="AB188">
        <v>-28</v>
      </c>
      <c r="AC188">
        <v>0</v>
      </c>
      <c r="AD188">
        <v>-21</v>
      </c>
      <c r="AE188">
        <v>28</v>
      </c>
      <c r="AF188">
        <v>0</v>
      </c>
      <c r="AG188">
        <v>-21</v>
      </c>
      <c r="AH188">
        <v>7</v>
      </c>
      <c r="AI188">
        <v>7</v>
      </c>
      <c r="AJ188">
        <v>-21</v>
      </c>
      <c r="AK188">
        <v>-7</v>
      </c>
      <c r="AL188">
        <v>7</v>
      </c>
      <c r="AM188">
        <v>-21</v>
      </c>
      <c r="AN188">
        <v>-7</v>
      </c>
      <c r="AO188">
        <v>-7</v>
      </c>
      <c r="AP188">
        <v>-21</v>
      </c>
      <c r="AQ188">
        <v>7</v>
      </c>
      <c r="AR188">
        <v>-7</v>
      </c>
      <c r="AS188">
        <v>-21</v>
      </c>
    </row>
    <row r="189" spans="1:111">
      <c r="A189" t="s">
        <v>54</v>
      </c>
    </row>
    <row r="190" spans="1:111">
      <c r="A190" t="s">
        <v>55</v>
      </c>
      <c r="B190" t="s">
        <v>56</v>
      </c>
      <c r="C190" t="s">
        <v>61</v>
      </c>
      <c r="D190" t="s">
        <v>116</v>
      </c>
      <c r="E190" t="s">
        <v>59</v>
      </c>
      <c r="F190" t="s">
        <v>60</v>
      </c>
    </row>
    <row r="191" spans="1:111">
      <c r="A191">
        <v>0</v>
      </c>
      <c r="B191">
        <v>1</v>
      </c>
      <c r="C191">
        <v>9</v>
      </c>
      <c r="D191">
        <v>13</v>
      </c>
      <c r="E191">
        <v>2</v>
      </c>
      <c r="F191">
        <v>5</v>
      </c>
      <c r="G191">
        <v>2</v>
      </c>
      <c r="H191">
        <v>6</v>
      </c>
      <c r="I191">
        <v>10</v>
      </c>
      <c r="J191">
        <v>11</v>
      </c>
      <c r="K191">
        <v>4</v>
      </c>
      <c r="L191">
        <v>6</v>
      </c>
      <c r="M191">
        <v>4</v>
      </c>
      <c r="N191">
        <v>8</v>
      </c>
      <c r="O191">
        <v>5</v>
      </c>
      <c r="P191">
        <v>6</v>
      </c>
      <c r="Q191">
        <v>1</v>
      </c>
      <c r="R191">
        <v>7</v>
      </c>
      <c r="S191">
        <v>12</v>
      </c>
      <c r="T191">
        <v>13</v>
      </c>
      <c r="U191">
        <v>1</v>
      </c>
      <c r="V191">
        <v>8</v>
      </c>
      <c r="W191">
        <v>10</v>
      </c>
      <c r="X191">
        <v>14</v>
      </c>
      <c r="Y191">
        <v>11</v>
      </c>
      <c r="Z191">
        <v>14</v>
      </c>
      <c r="AA191">
        <v>0</v>
      </c>
      <c r="AB191">
        <v>4</v>
      </c>
      <c r="AC191">
        <v>3</v>
      </c>
      <c r="AD191">
        <v>7</v>
      </c>
      <c r="AE191">
        <v>0</v>
      </c>
      <c r="AF191">
        <v>3</v>
      </c>
      <c r="AG191">
        <v>7</v>
      </c>
      <c r="AH191">
        <v>8</v>
      </c>
      <c r="AI191">
        <v>0</v>
      </c>
      <c r="AJ191">
        <v>2</v>
      </c>
      <c r="AK191">
        <v>9</v>
      </c>
      <c r="AL191">
        <v>12</v>
      </c>
      <c r="AM191">
        <v>3</v>
      </c>
      <c r="AN191">
        <v>5</v>
      </c>
    </row>
    <row r="192" spans="1:111">
      <c r="A192" t="s">
        <v>54</v>
      </c>
    </row>
    <row r="193" spans="1:32">
      <c r="A193" t="s">
        <v>55</v>
      </c>
      <c r="B193" t="s">
        <v>56</v>
      </c>
      <c r="C193" t="s">
        <v>57</v>
      </c>
      <c r="D193" t="s">
        <v>117</v>
      </c>
      <c r="E193" t="s">
        <v>59</v>
      </c>
      <c r="F193" t="s">
        <v>60</v>
      </c>
    </row>
    <row r="194" spans="1:32">
      <c r="A194">
        <v>18</v>
      </c>
      <c r="B194">
        <v>-18</v>
      </c>
      <c r="C194">
        <v>63</v>
      </c>
      <c r="D194">
        <v>-18</v>
      </c>
      <c r="E194">
        <v>-18</v>
      </c>
      <c r="F194">
        <v>63</v>
      </c>
      <c r="G194">
        <v>9</v>
      </c>
      <c r="H194">
        <v>10</v>
      </c>
      <c r="I194">
        <v>27</v>
      </c>
      <c r="J194">
        <v>-9</v>
      </c>
      <c r="K194">
        <v>10</v>
      </c>
      <c r="L194">
        <v>27</v>
      </c>
      <c r="M194">
        <v>27</v>
      </c>
      <c r="N194">
        <v>-18</v>
      </c>
      <c r="O194">
        <v>45</v>
      </c>
      <c r="P194">
        <v>-27</v>
      </c>
      <c r="Q194">
        <v>-18</v>
      </c>
      <c r="R194">
        <v>45</v>
      </c>
      <c r="S194">
        <v>46</v>
      </c>
      <c r="T194">
        <v>-18</v>
      </c>
      <c r="U194">
        <v>-45</v>
      </c>
      <c r="V194">
        <v>-46</v>
      </c>
      <c r="W194">
        <v>-18</v>
      </c>
      <c r="X194">
        <v>-45</v>
      </c>
      <c r="Y194">
        <v>14</v>
      </c>
      <c r="Z194">
        <v>25</v>
      </c>
      <c r="AA194">
        <v>-45</v>
      </c>
      <c r="AB194">
        <v>-14</v>
      </c>
      <c r="AC194">
        <v>25</v>
      </c>
      <c r="AD194">
        <v>-45</v>
      </c>
    </row>
    <row r="195" spans="1:32">
      <c r="A195" t="s">
        <v>54</v>
      </c>
    </row>
    <row r="196" spans="1:32">
      <c r="A196" t="s">
        <v>55</v>
      </c>
      <c r="B196" t="s">
        <v>56</v>
      </c>
      <c r="C196" t="s">
        <v>61</v>
      </c>
      <c r="D196" t="s">
        <v>118</v>
      </c>
      <c r="E196" t="s">
        <v>59</v>
      </c>
      <c r="F196" t="s">
        <v>60</v>
      </c>
    </row>
    <row r="197" spans="1:32">
      <c r="A197">
        <v>0</v>
      </c>
      <c r="B197">
        <v>1</v>
      </c>
      <c r="C197">
        <v>1</v>
      </c>
      <c r="D197">
        <v>3</v>
      </c>
      <c r="E197">
        <v>6</v>
      </c>
      <c r="F197">
        <v>7</v>
      </c>
      <c r="G197">
        <v>6</v>
      </c>
      <c r="H197">
        <v>8</v>
      </c>
      <c r="I197">
        <v>4</v>
      </c>
      <c r="J197">
        <v>6</v>
      </c>
      <c r="K197">
        <v>2</v>
      </c>
      <c r="L197">
        <v>8</v>
      </c>
      <c r="M197">
        <v>5</v>
      </c>
      <c r="N197">
        <v>7</v>
      </c>
      <c r="O197">
        <v>2</v>
      </c>
      <c r="P197">
        <v>4</v>
      </c>
      <c r="Q197">
        <v>8</v>
      </c>
      <c r="R197">
        <v>9</v>
      </c>
      <c r="S197">
        <v>1</v>
      </c>
      <c r="T197">
        <v>5</v>
      </c>
      <c r="U197">
        <v>3</v>
      </c>
      <c r="V197">
        <v>9</v>
      </c>
      <c r="W197">
        <v>2</v>
      </c>
      <c r="X197">
        <v>3</v>
      </c>
      <c r="Y197">
        <v>0</v>
      </c>
      <c r="Z197">
        <v>4</v>
      </c>
      <c r="AA197">
        <v>7</v>
      </c>
      <c r="AB197">
        <v>9</v>
      </c>
      <c r="AC197">
        <v>0</v>
      </c>
      <c r="AD197">
        <v>2</v>
      </c>
      <c r="AE197">
        <v>3</v>
      </c>
      <c r="AF197">
        <v>5</v>
      </c>
    </row>
    <row r="198" spans="1:32">
      <c r="A198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36"/>
  <sheetViews>
    <sheetView workbookViewId="0">
      <selection activeCell="E3" sqref="E3"/>
    </sheetView>
  </sheetViews>
  <sheetFormatPr baseColWidth="10" defaultRowHeight="16"/>
  <cols>
    <col min="4" max="4" width="18" customWidth="1"/>
  </cols>
  <sheetData>
    <row r="1" spans="1:7">
      <c r="A1" t="s">
        <v>60</v>
      </c>
      <c r="B1" t="s">
        <v>216</v>
      </c>
      <c r="C1">
        <v>8</v>
      </c>
      <c r="D1" t="s">
        <v>217</v>
      </c>
      <c r="E1">
        <v>12</v>
      </c>
      <c r="F1" t="s">
        <v>218</v>
      </c>
      <c r="G1" t="s">
        <v>122</v>
      </c>
    </row>
    <row r="2" spans="1:7">
      <c r="A2" t="s">
        <v>60</v>
      </c>
      <c r="B2" t="s">
        <v>219</v>
      </c>
      <c r="C2">
        <v>4</v>
      </c>
      <c r="D2" t="s">
        <v>222</v>
      </c>
      <c r="E2">
        <v>6</v>
      </c>
      <c r="F2" t="s">
        <v>225</v>
      </c>
      <c r="G2" t="s">
        <v>122</v>
      </c>
    </row>
    <row r="3" spans="1:7">
      <c r="A3" t="s">
        <v>60</v>
      </c>
      <c r="B3" t="s">
        <v>220</v>
      </c>
      <c r="C3">
        <v>5</v>
      </c>
      <c r="D3" t="s">
        <v>223</v>
      </c>
      <c r="E3">
        <v>8</v>
      </c>
      <c r="F3" t="s">
        <v>226</v>
      </c>
      <c r="G3" t="s">
        <v>122</v>
      </c>
    </row>
    <row r="4" spans="1:7">
      <c r="A4" t="s">
        <v>60</v>
      </c>
      <c r="B4" t="s">
        <v>221</v>
      </c>
      <c r="C4">
        <v>6</v>
      </c>
      <c r="D4" t="s">
        <v>224</v>
      </c>
      <c r="E4">
        <v>9</v>
      </c>
      <c r="F4" t="s">
        <v>227</v>
      </c>
      <c r="G4" t="s">
        <v>122</v>
      </c>
    </row>
    <row r="5" spans="1:7">
      <c r="A5" t="s">
        <v>60</v>
      </c>
      <c r="B5" t="s">
        <v>119</v>
      </c>
      <c r="C5">
        <v>18</v>
      </c>
      <c r="D5" t="s">
        <v>120</v>
      </c>
      <c r="E5">
        <v>29</v>
      </c>
      <c r="F5" t="s">
        <v>121</v>
      </c>
      <c r="G5" t="s">
        <v>122</v>
      </c>
    </row>
    <row r="6" spans="1:7">
      <c r="A6" t="s">
        <v>60</v>
      </c>
      <c r="B6" t="s">
        <v>123</v>
      </c>
      <c r="C6">
        <v>15</v>
      </c>
      <c r="D6" t="s">
        <v>124</v>
      </c>
      <c r="E6">
        <v>25</v>
      </c>
      <c r="F6" t="s">
        <v>125</v>
      </c>
      <c r="G6" t="s">
        <v>122</v>
      </c>
    </row>
    <row r="7" spans="1:7">
      <c r="A7" t="s">
        <v>60</v>
      </c>
      <c r="B7" t="s">
        <v>126</v>
      </c>
      <c r="C7">
        <v>17</v>
      </c>
      <c r="D7" t="s">
        <v>127</v>
      </c>
      <c r="E7">
        <v>27</v>
      </c>
      <c r="F7" t="s">
        <v>128</v>
      </c>
      <c r="G7" t="s">
        <v>122</v>
      </c>
    </row>
    <row r="8" spans="1:7">
      <c r="A8" t="s">
        <v>60</v>
      </c>
      <c r="B8" t="s">
        <v>129</v>
      </c>
      <c r="C8">
        <v>9</v>
      </c>
      <c r="D8" t="s">
        <v>130</v>
      </c>
      <c r="E8">
        <v>21</v>
      </c>
      <c r="F8" t="s">
        <v>131</v>
      </c>
      <c r="G8" t="s">
        <v>122</v>
      </c>
    </row>
    <row r="9" spans="1:7">
      <c r="A9" t="s">
        <v>60</v>
      </c>
      <c r="B9" t="s">
        <v>132</v>
      </c>
      <c r="C9">
        <v>10</v>
      </c>
      <c r="D9" t="s">
        <v>133</v>
      </c>
      <c r="E9">
        <v>15</v>
      </c>
      <c r="F9" t="s">
        <v>134</v>
      </c>
      <c r="G9" t="s">
        <v>122</v>
      </c>
    </row>
    <row r="10" spans="1:7">
      <c r="A10" t="s">
        <v>60</v>
      </c>
      <c r="B10" t="s">
        <v>135</v>
      </c>
      <c r="C10">
        <v>13</v>
      </c>
      <c r="D10" t="s">
        <v>136</v>
      </c>
      <c r="E10">
        <v>24</v>
      </c>
      <c r="F10" t="s">
        <v>137</v>
      </c>
      <c r="G10" t="s">
        <v>122</v>
      </c>
    </row>
    <row r="11" spans="1:7">
      <c r="A11" t="s">
        <v>60</v>
      </c>
      <c r="B11" t="s">
        <v>138</v>
      </c>
      <c r="C11">
        <v>7</v>
      </c>
      <c r="D11" t="s">
        <v>139</v>
      </c>
      <c r="E11">
        <v>15</v>
      </c>
      <c r="F11" t="s">
        <v>140</v>
      </c>
      <c r="G11" t="s">
        <v>122</v>
      </c>
    </row>
    <row r="12" spans="1:7">
      <c r="A12" t="s">
        <v>60</v>
      </c>
      <c r="B12" t="s">
        <v>141</v>
      </c>
      <c r="C12">
        <v>4</v>
      </c>
      <c r="D12" t="s">
        <v>142</v>
      </c>
      <c r="E12">
        <v>6</v>
      </c>
      <c r="F12" t="s">
        <v>143</v>
      </c>
      <c r="G12" t="s">
        <v>122</v>
      </c>
    </row>
    <row r="13" spans="1:7">
      <c r="A13" t="s">
        <v>60</v>
      </c>
      <c r="B13" t="s">
        <v>144</v>
      </c>
      <c r="C13">
        <v>28</v>
      </c>
      <c r="D13" t="s">
        <v>145</v>
      </c>
      <c r="E13">
        <v>37</v>
      </c>
      <c r="F13" t="s">
        <v>146</v>
      </c>
      <c r="G13" t="s">
        <v>122</v>
      </c>
    </row>
    <row r="14" spans="1:7">
      <c r="A14" t="s">
        <v>60</v>
      </c>
      <c r="B14" t="s">
        <v>147</v>
      </c>
      <c r="C14">
        <v>11</v>
      </c>
      <c r="D14" t="s">
        <v>148</v>
      </c>
      <c r="E14">
        <v>17</v>
      </c>
      <c r="F14" t="s">
        <v>149</v>
      </c>
      <c r="G14" t="s">
        <v>122</v>
      </c>
    </row>
    <row r="15" spans="1:7">
      <c r="A15" t="s">
        <v>60</v>
      </c>
      <c r="B15" t="s">
        <v>150</v>
      </c>
      <c r="C15">
        <v>17</v>
      </c>
      <c r="D15" t="s">
        <v>151</v>
      </c>
      <c r="E15">
        <v>24</v>
      </c>
      <c r="F15" t="s">
        <v>152</v>
      </c>
      <c r="G15" t="s">
        <v>122</v>
      </c>
    </row>
    <row r="16" spans="1:7">
      <c r="A16" t="s">
        <v>60</v>
      </c>
      <c r="B16" t="s">
        <v>153</v>
      </c>
      <c r="C16">
        <v>16</v>
      </c>
      <c r="D16" t="s">
        <v>154</v>
      </c>
      <c r="E16">
        <v>28</v>
      </c>
      <c r="F16" t="s">
        <v>155</v>
      </c>
      <c r="G16" t="s">
        <v>122</v>
      </c>
    </row>
    <row r="17" spans="1:7">
      <c r="A17" t="s">
        <v>60</v>
      </c>
      <c r="B17" t="s">
        <v>156</v>
      </c>
      <c r="C17">
        <v>20</v>
      </c>
      <c r="D17" t="s">
        <v>157</v>
      </c>
      <c r="E17">
        <v>28</v>
      </c>
      <c r="F17" t="s">
        <v>158</v>
      </c>
      <c r="G17" t="s">
        <v>122</v>
      </c>
    </row>
    <row r="18" spans="1:7">
      <c r="A18" t="s">
        <v>60</v>
      </c>
      <c r="B18" t="s">
        <v>159</v>
      </c>
      <c r="C18">
        <v>24</v>
      </c>
      <c r="D18" t="s">
        <v>160</v>
      </c>
      <c r="E18">
        <v>34</v>
      </c>
      <c r="F18" t="s">
        <v>161</v>
      </c>
      <c r="G18" t="s">
        <v>122</v>
      </c>
    </row>
    <row r="19" spans="1:7">
      <c r="A19" t="s">
        <v>60</v>
      </c>
      <c r="B19" t="s">
        <v>162</v>
      </c>
      <c r="C19">
        <v>19</v>
      </c>
      <c r="D19" t="s">
        <v>163</v>
      </c>
      <c r="E19">
        <v>27</v>
      </c>
      <c r="F19" t="s">
        <v>164</v>
      </c>
      <c r="G19" t="s">
        <v>122</v>
      </c>
    </row>
    <row r="20" spans="1:7">
      <c r="A20" t="s">
        <v>60</v>
      </c>
      <c r="B20" t="s">
        <v>165</v>
      </c>
      <c r="C20">
        <v>12</v>
      </c>
      <c r="D20" t="s">
        <v>166</v>
      </c>
      <c r="E20">
        <v>15</v>
      </c>
      <c r="F20" t="s">
        <v>167</v>
      </c>
      <c r="G20" t="s">
        <v>122</v>
      </c>
    </row>
    <row r="21" spans="1:7">
      <c r="A21" t="s">
        <v>60</v>
      </c>
      <c r="B21" t="s">
        <v>168</v>
      </c>
      <c r="C21">
        <v>17</v>
      </c>
      <c r="D21" t="s">
        <v>169</v>
      </c>
      <c r="E21">
        <v>20</v>
      </c>
      <c r="F21" t="s">
        <v>170</v>
      </c>
      <c r="G21" t="s">
        <v>122</v>
      </c>
    </row>
    <row r="22" spans="1:7">
      <c r="A22" t="s">
        <v>60</v>
      </c>
      <c r="B22" t="s">
        <v>171</v>
      </c>
      <c r="C22">
        <v>25</v>
      </c>
      <c r="D22" t="s">
        <v>172</v>
      </c>
      <c r="E22">
        <v>28</v>
      </c>
      <c r="F22" t="s">
        <v>173</v>
      </c>
      <c r="G22" t="s">
        <v>122</v>
      </c>
    </row>
    <row r="23" spans="1:7">
      <c r="A23" t="s">
        <v>60</v>
      </c>
      <c r="B23" t="s">
        <v>174</v>
      </c>
      <c r="C23">
        <v>17</v>
      </c>
      <c r="D23" t="s">
        <v>175</v>
      </c>
      <c r="E23">
        <v>28</v>
      </c>
      <c r="F23" t="s">
        <v>176</v>
      </c>
      <c r="G23" t="s">
        <v>122</v>
      </c>
    </row>
    <row r="24" spans="1:7">
      <c r="A24" t="s">
        <v>60</v>
      </c>
      <c r="B24" t="s">
        <v>177</v>
      </c>
      <c r="C24">
        <v>14</v>
      </c>
      <c r="D24" t="s">
        <v>178</v>
      </c>
      <c r="E24">
        <v>17</v>
      </c>
      <c r="F24" t="s">
        <v>179</v>
      </c>
      <c r="G24" t="s">
        <v>122</v>
      </c>
    </row>
    <row r="25" spans="1:7">
      <c r="A25" t="s">
        <v>60</v>
      </c>
      <c r="B25" t="s">
        <v>180</v>
      </c>
      <c r="C25">
        <v>4</v>
      </c>
      <c r="D25" t="s">
        <v>181</v>
      </c>
      <c r="E25">
        <v>4</v>
      </c>
      <c r="F25" t="s">
        <v>182</v>
      </c>
      <c r="G25" t="s">
        <v>122</v>
      </c>
    </row>
    <row r="26" spans="1:7">
      <c r="A26" t="s">
        <v>60</v>
      </c>
      <c r="B26" t="s">
        <v>183</v>
      </c>
      <c r="C26">
        <v>11</v>
      </c>
      <c r="D26" t="s">
        <v>184</v>
      </c>
      <c r="E26">
        <v>22</v>
      </c>
      <c r="F26" t="s">
        <v>185</v>
      </c>
      <c r="G26" t="s">
        <v>122</v>
      </c>
    </row>
    <row r="27" spans="1:7">
      <c r="A27" t="s">
        <v>60</v>
      </c>
      <c r="B27" t="s">
        <v>186</v>
      </c>
      <c r="C27">
        <v>10</v>
      </c>
      <c r="D27" t="s">
        <v>187</v>
      </c>
      <c r="E27">
        <v>15</v>
      </c>
      <c r="F27" t="s">
        <v>188</v>
      </c>
      <c r="G27" t="s">
        <v>122</v>
      </c>
    </row>
    <row r="28" spans="1:7">
      <c r="A28" t="s">
        <v>60</v>
      </c>
      <c r="B28" t="s">
        <v>189</v>
      </c>
      <c r="C28">
        <v>19</v>
      </c>
      <c r="D28" t="s">
        <v>190</v>
      </c>
      <c r="E28">
        <v>30</v>
      </c>
      <c r="F28" t="s">
        <v>191</v>
      </c>
      <c r="G28" t="s">
        <v>122</v>
      </c>
    </row>
    <row r="29" spans="1:7">
      <c r="A29" t="s">
        <v>60</v>
      </c>
      <c r="B29" t="s">
        <v>192</v>
      </c>
      <c r="C29">
        <v>10</v>
      </c>
      <c r="D29" t="s">
        <v>193</v>
      </c>
      <c r="E29">
        <v>15</v>
      </c>
      <c r="F29" t="s">
        <v>194</v>
      </c>
      <c r="G29" t="s">
        <v>122</v>
      </c>
    </row>
    <row r="30" spans="1:7">
      <c r="A30" t="s">
        <v>60</v>
      </c>
      <c r="B30" t="s">
        <v>195</v>
      </c>
      <c r="C30">
        <v>20</v>
      </c>
      <c r="D30" t="s">
        <v>196</v>
      </c>
      <c r="E30">
        <v>24</v>
      </c>
      <c r="F30" t="s">
        <v>197</v>
      </c>
    </row>
    <row r="31" spans="1:7">
      <c r="A31" t="s">
        <v>60</v>
      </c>
      <c r="B31" t="s">
        <v>198</v>
      </c>
      <c r="C31">
        <v>37</v>
      </c>
      <c r="D31" t="s">
        <v>199</v>
      </c>
      <c r="E31">
        <v>32</v>
      </c>
      <c r="F31" t="s">
        <v>200</v>
      </c>
    </row>
    <row r="32" spans="1:7">
      <c r="A32" t="s">
        <v>60</v>
      </c>
      <c r="B32" t="s">
        <v>201</v>
      </c>
      <c r="C32">
        <v>15</v>
      </c>
      <c r="D32" t="s">
        <v>202</v>
      </c>
      <c r="E32">
        <v>20</v>
      </c>
      <c r="F32" t="s">
        <v>203</v>
      </c>
    </row>
    <row r="33" spans="1:6">
      <c r="A33" t="s">
        <v>60</v>
      </c>
      <c r="B33" t="s">
        <v>204</v>
      </c>
      <c r="C33">
        <v>10</v>
      </c>
      <c r="D33" t="s">
        <v>205</v>
      </c>
      <c r="E33">
        <v>16</v>
      </c>
      <c r="F33" t="s">
        <v>206</v>
      </c>
    </row>
    <row r="36" spans="1:6">
      <c r="C36">
        <f>MAX(C5:C33)</f>
        <v>37</v>
      </c>
      <c r="E36">
        <f>MAX(E5:E33)</f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Anim</vt:lpstr>
      <vt:lpstr>ShipsVE</vt:lpstr>
      <vt:lpstr>ShipsInfo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Gribaudo</dc:creator>
  <cp:lastModifiedBy>Marco Gribaudo</cp:lastModifiedBy>
  <cp:lastPrinted>2014-04-07T21:36:14Z</cp:lastPrinted>
  <dcterms:created xsi:type="dcterms:W3CDTF">2014-04-07T18:37:21Z</dcterms:created>
  <dcterms:modified xsi:type="dcterms:W3CDTF">2022-03-30T09:10:29Z</dcterms:modified>
</cp:coreProperties>
</file>